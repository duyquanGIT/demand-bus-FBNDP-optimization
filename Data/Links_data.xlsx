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ESIS\Build\Data\"/>
    </mc:Choice>
  </mc:AlternateContent>
  <xr:revisionPtr revIDLastSave="0" documentId="13_ncr:1_{A84B4CE0-BD58-4469-9BFA-AA76D511F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5" i="1"/>
  <c r="L158" i="1"/>
  <c r="L159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3" i="1"/>
  <c r="L4" i="1"/>
  <c r="L2" i="1"/>
  <c r="K161" i="1"/>
  <c r="L161" i="1" s="1"/>
  <c r="K160" i="1"/>
  <c r="L160" i="1" s="1"/>
  <c r="K157" i="1"/>
  <c r="L157" i="1" s="1"/>
  <c r="K156" i="1"/>
  <c r="L156" i="1" s="1"/>
  <c r="K154" i="1"/>
  <c r="L154" i="1" s="1"/>
  <c r="K153" i="1"/>
  <c r="L153" i="1" s="1"/>
</calcChain>
</file>

<file path=xl/sharedStrings.xml><?xml version="1.0" encoding="utf-8"?>
<sst xmlns="http://schemas.openxmlformats.org/spreadsheetml/2006/main" count="1099" uniqueCount="379">
  <si>
    <t>from_station_id</t>
  </si>
  <si>
    <t>to_station_id</t>
  </si>
  <si>
    <t>link_name</t>
  </si>
  <si>
    <t>link_type</t>
  </si>
  <si>
    <t>from_lat</t>
  </si>
  <si>
    <t>from_lon</t>
  </si>
  <si>
    <t>to_lat</t>
  </si>
  <si>
    <t>to_lon</t>
  </si>
  <si>
    <t>from_station_name</t>
  </si>
  <si>
    <t>to_station_name</t>
  </si>
  <si>
    <t>gis_route_distance_m</t>
  </si>
  <si>
    <t>gis_route_distance_km</t>
  </si>
  <si>
    <t>average_travel_time_s</t>
  </si>
  <si>
    <t>average_travel_time_min</t>
  </si>
  <si>
    <t>average_speed_kmh</t>
  </si>
  <si>
    <t>1_3</t>
  </si>
  <si>
    <t>Forward</t>
  </si>
  <si>
    <t>International University, VNU-HCM</t>
  </si>
  <si>
    <t>International University, VNU-HCM - Creative Square - Linh Trung Ward</t>
  </si>
  <si>
    <t>1_2</t>
  </si>
  <si>
    <t>U-turn</t>
  </si>
  <si>
    <t>International University, VNU-HCM - Le Quy Don Intersection - Thomas Edison Street (Opposite International University) - Le Quy Don Street - Linh Trung Ward</t>
  </si>
  <si>
    <t>1_5</t>
  </si>
  <si>
    <t>VNU-HCM Area A Dormitory - Creative Square Intersection (Outbound) - Creative Square - Linh Trung Ward</t>
  </si>
  <si>
    <t>1_25</t>
  </si>
  <si>
    <t>VNU-HCM Area A Bus Terminal - Creative Square</t>
  </si>
  <si>
    <t>2_1</t>
  </si>
  <si>
    <t>University of Social Sciences and Humanities, VNU-HCM - Creative Square - Linh Trung Ward</t>
  </si>
  <si>
    <t>2_19</t>
  </si>
  <si>
    <t>Student Cultural House - Creative Square - Linh Trung Ward</t>
  </si>
  <si>
    <t>2_42</t>
  </si>
  <si>
    <t>Ho Da Lake - Le Quy Don Intersection - Nguyen Du Street (Residential Block 497-499) - Linh Trung Ward</t>
  </si>
  <si>
    <t>2_43</t>
  </si>
  <si>
    <t>National Defense and Security Education Center</t>
  </si>
  <si>
    <t>2_13</t>
  </si>
  <si>
    <t>Ho Chi Minh City University of Technology, VNU-HCM - University of Technology (Stop CX 138-142) - Ta Quang Buu Street - Linh Trung Ward</t>
  </si>
  <si>
    <t>2_41</t>
  </si>
  <si>
    <t>National Defense and Security Education Center (Nguyen Du Gate) - Opposite Rear Gate - Nguyen Du Street - Binh Chieu Ward</t>
  </si>
  <si>
    <t>2_15</t>
  </si>
  <si>
    <t>AH4 Building, Area A Dormitory - Opposite No. 136-138 Nguyen Binh Khiem Street - Linh Trung Ward</t>
  </si>
  <si>
    <t>2_35</t>
  </si>
  <si>
    <t>Opposite New Eastern Bus Station</t>
  </si>
  <si>
    <t>3_4</t>
  </si>
  <si>
    <t>International University, VNU-HCM - Opposite International University - Creative Square - Linh Trung Ward</t>
  </si>
  <si>
    <t>3_18</t>
  </si>
  <si>
    <t>Student Cultural House - Opposite Student Cultural House - Creative Square - Linh Trung Ward</t>
  </si>
  <si>
    <t>3_19</t>
  </si>
  <si>
    <t>3_65</t>
  </si>
  <si>
    <t>VNU-HCM Guest House - Opposite VNU-HCM Guest House (Stop CX 353-355) - Nguyen Du Street - Linh Trung Ward</t>
  </si>
  <si>
    <t>4_3</t>
  </si>
  <si>
    <t>4_2</t>
  </si>
  <si>
    <t>4_5</t>
  </si>
  <si>
    <t>4_25</t>
  </si>
  <si>
    <t>5_6</t>
  </si>
  <si>
    <t>VNU-HCM Area A Dormitory - Creative Square Intersection (Inbound) - Creative Square - Linh Trung Ward</t>
  </si>
  <si>
    <t>5_7</t>
  </si>
  <si>
    <t>University of Science, VNU-HCM - Opposite CNG Station - Road 621</t>
  </si>
  <si>
    <t>5_25</t>
  </si>
  <si>
    <t>6_17</t>
  </si>
  <si>
    <t>Backward</t>
  </si>
  <si>
    <t>Bus Stop 33</t>
  </si>
  <si>
    <t>6_3</t>
  </si>
  <si>
    <t>6_2</t>
  </si>
  <si>
    <t>6_5</t>
  </si>
  <si>
    <t>6_25</t>
  </si>
  <si>
    <t>7_9</t>
  </si>
  <si>
    <t>Area A Bus Terminal - No. 28-30 Nguyen Binh Khiem Street - Linh Trung Ward</t>
  </si>
  <si>
    <t>7_33</t>
  </si>
  <si>
    <t>People's Security University - Tien Thanh Factory - National Highway 1</t>
  </si>
  <si>
    <t>8_9</t>
  </si>
  <si>
    <t>VNU-HCM Ring Road - VNU-HCM Utility Pole 6 (Mua Bui Cafe) - Road 621 - Linh Trung Ward</t>
  </si>
  <si>
    <t>8_7</t>
  </si>
  <si>
    <t>8_6</t>
  </si>
  <si>
    <t>8_25</t>
  </si>
  <si>
    <t>9_10</t>
  </si>
  <si>
    <t>Area A Bus Terminal - Opposite The Eastgate Apartment - Nguyen Binh Khiem Street - Linh Trung Ward</t>
  </si>
  <si>
    <t>9_16</t>
  </si>
  <si>
    <t>AH4 Building, Area A Dormitory - No. 136-138 Nguyen Binh Khiem Street - Linh Trung Ward</t>
  </si>
  <si>
    <t>10_9</t>
  </si>
  <si>
    <t>10_7</t>
  </si>
  <si>
    <t>10_6</t>
  </si>
  <si>
    <t>10_33</t>
  </si>
  <si>
    <t>10_25</t>
  </si>
  <si>
    <t>11_12</t>
  </si>
  <si>
    <t>VNU-HCM Area A Dormitory - Area A Dormitory (Stop CX 161-163) - Ta Quang Buu Street - Linh Trung Ward</t>
  </si>
  <si>
    <t>VNU-HCM Area A Dormitory - Opposite Area A Dormitory (Stop CX 286) - Ta Quang Buu Street - Linh Trung Ward</t>
  </si>
  <si>
    <t>11_14</t>
  </si>
  <si>
    <t>Ho Chi Minh City University of Technology, VNU-HCM - Opposite University of Technology (Stop CX 101-103) - Ta Quang Buu Street - Linh Trung Ward</t>
  </si>
  <si>
    <t>12_11</t>
  </si>
  <si>
    <t>12_3</t>
  </si>
  <si>
    <t>12_2</t>
  </si>
  <si>
    <t>12_5</t>
  </si>
  <si>
    <t>12_25</t>
  </si>
  <si>
    <t>13_14</t>
  </si>
  <si>
    <t>13_12</t>
  </si>
  <si>
    <t>14_13</t>
  </si>
  <si>
    <t>14_15</t>
  </si>
  <si>
    <t>14_41</t>
  </si>
  <si>
    <t>14_1</t>
  </si>
  <si>
    <t>14_35</t>
  </si>
  <si>
    <t>14_42</t>
  </si>
  <si>
    <t>14_43</t>
  </si>
  <si>
    <t>14_79</t>
  </si>
  <si>
    <t>Dong An Driving Training Center - Near 300 Thong Nhat Street - Dong An Driving Training Center Gate</t>
  </si>
  <si>
    <t>14_40</t>
  </si>
  <si>
    <t>Ho Da Park - Dong Hoa</t>
  </si>
  <si>
    <t>15_10</t>
  </si>
  <si>
    <t>15_33</t>
  </si>
  <si>
    <t>16_13</t>
  </si>
  <si>
    <t>16_35</t>
  </si>
  <si>
    <t>16_41</t>
  </si>
  <si>
    <t>16_79</t>
  </si>
  <si>
    <t>16_40</t>
  </si>
  <si>
    <t>16_42</t>
  </si>
  <si>
    <t>16_1</t>
  </si>
  <si>
    <t>16_43</t>
  </si>
  <si>
    <t>17_11</t>
  </si>
  <si>
    <t>18_65</t>
  </si>
  <si>
    <t>18_4</t>
  </si>
  <si>
    <t>18_24</t>
  </si>
  <si>
    <t>18_20</t>
  </si>
  <si>
    <t>Fishing Lake - Opposite 6/21 Alexandre de Rhodes Street</t>
  </si>
  <si>
    <t>19_4</t>
  </si>
  <si>
    <t>19_65</t>
  </si>
  <si>
    <t>20_21</t>
  </si>
  <si>
    <t>Fishing Lake - In Front of House No. 21/6 (Utility Pole 167) - Alexandre de Rhodes Street - Linh Trung Ward</t>
  </si>
  <si>
    <t>20_24</t>
  </si>
  <si>
    <t>20_19</t>
  </si>
  <si>
    <t>20_4</t>
  </si>
  <si>
    <t>21_22</t>
  </si>
  <si>
    <t>University of Physical Education and Sports - Vo Truong Toan Street - Linh Trung Ward</t>
  </si>
  <si>
    <t>21_20</t>
  </si>
  <si>
    <t>VNU-HCM Central Library - Rear Gate of VNU-HCM Central Library - Vo Truong Toan Street - Linh Trung Ward</t>
  </si>
  <si>
    <t>22_28</t>
  </si>
  <si>
    <t>VNU-HCM Information Technology Park - Vo Truong Toan Street</t>
  </si>
  <si>
    <t>23_20</t>
  </si>
  <si>
    <t>24_19</t>
  </si>
  <si>
    <t>24_6</t>
  </si>
  <si>
    <t>24_7</t>
  </si>
  <si>
    <t>24_26</t>
  </si>
  <si>
    <t>University of Information Technology, VNU-HCM - Han Thuyen Street</t>
  </si>
  <si>
    <t>24_25</t>
  </si>
  <si>
    <t>25_24</t>
  </si>
  <si>
    <t>25_19</t>
  </si>
  <si>
    <t>25_4</t>
  </si>
  <si>
    <t>25_26</t>
  </si>
  <si>
    <t>26_6</t>
  </si>
  <si>
    <t>26_7</t>
  </si>
  <si>
    <t>26_25</t>
  </si>
  <si>
    <t>27_28</t>
  </si>
  <si>
    <t>VNU-HCM Central Library - Vo Truong Toan Street - Linh Trung Ward</t>
  </si>
  <si>
    <t>27_23</t>
  </si>
  <si>
    <t>28_27</t>
  </si>
  <si>
    <t>28_30</t>
  </si>
  <si>
    <t>Thao Nguyen - 35B National Highway 1 - Linh Trung Ward</t>
  </si>
  <si>
    <t>28_29</t>
  </si>
  <si>
    <t>Nong Lam University - No. 85 (Opposite No. 1026-1028) - National Highway 1 - Linh Trung Ward</t>
  </si>
  <si>
    <t>29_54</t>
  </si>
  <si>
    <t>Nong Lam University</t>
  </si>
  <si>
    <t>29_55</t>
  </si>
  <si>
    <t>Nong Lam University - Next to No. 21 National Highway 1</t>
  </si>
  <si>
    <t>30_29</t>
  </si>
  <si>
    <t>30_28</t>
  </si>
  <si>
    <t>31_30</t>
  </si>
  <si>
    <t>VNU-HCM Metro Station - Opposite VNU-HCM Metro Station - Left Frontage Road of Hanoi Highway - Linh Trung Ward</t>
  </si>
  <si>
    <t>31_27</t>
  </si>
  <si>
    <t>32_31</t>
  </si>
  <si>
    <t>National Defense Education Institution</t>
  </si>
  <si>
    <t>33_32</t>
  </si>
  <si>
    <t>33_81</t>
  </si>
  <si>
    <t>Ho Chi Minh City Martyrs' Cemetery - National Highway 1 - Tan Phu Ward</t>
  </si>
  <si>
    <t>34_10</t>
  </si>
  <si>
    <t>Duc Khai Joint Stock Company - National Highway 1</t>
  </si>
  <si>
    <t>34_8</t>
  </si>
  <si>
    <t>34_33</t>
  </si>
  <si>
    <t>35_34</t>
  </si>
  <si>
    <t>35_15</t>
  </si>
  <si>
    <t>35_13</t>
  </si>
  <si>
    <t>35_10</t>
  </si>
  <si>
    <t>35_8</t>
  </si>
  <si>
    <t>35_41</t>
  </si>
  <si>
    <t>35_79</t>
  </si>
  <si>
    <t>35_42</t>
  </si>
  <si>
    <t>35_43</t>
  </si>
  <si>
    <t>36_37</t>
  </si>
  <si>
    <t>Opposite Binh Nguyen Residential Area Gateway - Thong Nhat Street - Thu Duc City</t>
  </si>
  <si>
    <t>Near Binh Nguyen Residential Area Gateway - Thong Nhat Street - Binh Chieu Ward</t>
  </si>
  <si>
    <t>36_78</t>
  </si>
  <si>
    <t>300 VNU-HCM Ring Road - Quarter</t>
  </si>
  <si>
    <t>37_36</t>
  </si>
  <si>
    <t>37_45</t>
  </si>
  <si>
    <t>37_39</t>
  </si>
  <si>
    <t>Bcons Plaza</t>
  </si>
  <si>
    <t>38_39</t>
  </si>
  <si>
    <t>38_45</t>
  </si>
  <si>
    <t>38_36</t>
  </si>
  <si>
    <t>39_38</t>
  </si>
  <si>
    <t>39_49</t>
  </si>
  <si>
    <t>VNU-HCM Area B Dormitory - Outbound Direction - Main Axis Road No. 7 - Linh Trung Ward</t>
  </si>
  <si>
    <t>39_48</t>
  </si>
  <si>
    <t>VNU-HCM Area B Dormitory - Inbound Direction - Main Axis Road No. 7 - Linh Trung Ward</t>
  </si>
  <si>
    <t>39_47</t>
  </si>
  <si>
    <t>Institute for Environment and Resources - Main Axis Road No. 7</t>
  </si>
  <si>
    <t>40_41</t>
  </si>
  <si>
    <t>40_42</t>
  </si>
  <si>
    <t>40_43</t>
  </si>
  <si>
    <t>40_13</t>
  </si>
  <si>
    <t>40_15</t>
  </si>
  <si>
    <t>40_1</t>
  </si>
  <si>
    <t>41_79</t>
  </si>
  <si>
    <t>41_40</t>
  </si>
  <si>
    <t>41_15</t>
  </si>
  <si>
    <t>41_35</t>
  </si>
  <si>
    <t>42_65</t>
  </si>
  <si>
    <t>42_1</t>
  </si>
  <si>
    <t>42_4</t>
  </si>
  <si>
    <t>44_45</t>
  </si>
  <si>
    <t>National Defense and Security Education Center - 60 m from Center Gate - Le Quy Don Street</t>
  </si>
  <si>
    <t>44_36</t>
  </si>
  <si>
    <t>44_39</t>
  </si>
  <si>
    <t>45_42</t>
  </si>
  <si>
    <t>45_43</t>
  </si>
  <si>
    <t>45_41</t>
  </si>
  <si>
    <t>45_1</t>
  </si>
  <si>
    <t>45_13</t>
  </si>
  <si>
    <t>45_15</t>
  </si>
  <si>
    <t>46_47</t>
  </si>
  <si>
    <t>Institute for Environment and Resources - Opposite Institute - Main Axis Road No. 7 - Linh Trung Ward</t>
  </si>
  <si>
    <t>46_48</t>
  </si>
  <si>
    <t>46_60</t>
  </si>
  <si>
    <t>University of Economics and Law, VNU-HCM - Opposite Gate 3 - Luong Van Can Street - Binh Chieu Ward</t>
  </si>
  <si>
    <t>46_82</t>
  </si>
  <si>
    <t>Tu Quang Pagoda - No. 231 National Highway 1K - Linh Xuan Ward</t>
  </si>
  <si>
    <t>46_38</t>
  </si>
  <si>
    <t>47_64</t>
  </si>
  <si>
    <t>VNU-HCM Guest House - VNU-HCM Guest House (Stop CX 264-266) - Nguyen Du Street - Linh Trung Ward</t>
  </si>
  <si>
    <t>48_49</t>
  </si>
  <si>
    <t>48_47</t>
  </si>
  <si>
    <t>48_50</t>
  </si>
  <si>
    <t>VNU-HCM Area B Dormitory - Rear Gate - Tieu Bieu Road No. 3 - Linh Trung Ward</t>
  </si>
  <si>
    <t>48_82</t>
  </si>
  <si>
    <t>48_38</t>
  </si>
  <si>
    <t>49_47</t>
  </si>
  <si>
    <t>49_60</t>
  </si>
  <si>
    <t>49_82</t>
  </si>
  <si>
    <t>49_38</t>
  </si>
  <si>
    <t>50_51</t>
  </si>
  <si>
    <t>VNU-HCM Area B Dormitory - Opposite Rear Gate - Tieu Bieu Road No. 3 - Linh Trung Ward</t>
  </si>
  <si>
    <t>51_50</t>
  </si>
  <si>
    <t>51_49</t>
  </si>
  <si>
    <t>52_53</t>
  </si>
  <si>
    <t>Samsung Electronics Company - No. 34/38 (Next to No. 59/6) - National Highway 1</t>
  </si>
  <si>
    <t>University of Economics and Law, VNU-HCM - National Highway 1 - Linh Xuan Ward</t>
  </si>
  <si>
    <t>52_58</t>
  </si>
  <si>
    <t>University of Economics and Law, VNU-HCM (Gate 2) - 80 m from Gate 2 - Tran Dai Nghia Street - Linh Xuan Ward</t>
  </si>
  <si>
    <t>53_57</t>
  </si>
  <si>
    <t>Linh Xuan Logistics Center - National Highway 1 - Linh Xuan Ward</t>
  </si>
  <si>
    <t>54_56</t>
  </si>
  <si>
    <t>Nong Lam University - Nong Lam University Bus Terminal - National Highway 1</t>
  </si>
  <si>
    <t>54_55</t>
  </si>
  <si>
    <t>55_52</t>
  </si>
  <si>
    <t>56_55</t>
  </si>
  <si>
    <t>56_54</t>
  </si>
  <si>
    <t>56_91</t>
  </si>
  <si>
    <t>Nong Lam University - No. 1026/2 (1030) - National Highway 1 - Linh Trung Ward</t>
  </si>
  <si>
    <t>57_66</t>
  </si>
  <si>
    <t>City Cemetery - Utility Pole NG/1 - National Highway 1 - Linh Xuan Ward</t>
  </si>
  <si>
    <t>57_58</t>
  </si>
  <si>
    <t>57_61</t>
  </si>
  <si>
    <t>65/16 National Highway 1A - Linh Xuan Ward</t>
  </si>
  <si>
    <t>57_69</t>
  </si>
  <si>
    <t>Linh Xuan Market - No. 74-76 National Highway 1K - Linh Xuan Ward</t>
  </si>
  <si>
    <t>Dao Son Tay High School - No. 116-118 Road No. 8 - Linh Xuan Ward</t>
  </si>
  <si>
    <t>Linh Xuan Overpass - No. 13-15 National Highway 1K</t>
  </si>
  <si>
    <t>58_63</t>
  </si>
  <si>
    <t>Bong Dau 2 Cemetery - No. 193 Road No. 8 - Linh Xuan Ward</t>
  </si>
  <si>
    <t>58_59</t>
  </si>
  <si>
    <t>University of Economics and Law, VNU-HCM (Gate 2) - Next to No. 47 Tran Dai Nghia Street - Linh Xuan Ward</t>
  </si>
  <si>
    <t>58_61</t>
  </si>
  <si>
    <t>59_58</t>
  </si>
  <si>
    <t>59_66</t>
  </si>
  <si>
    <t>59_60</t>
  </si>
  <si>
    <t>59_61</t>
  </si>
  <si>
    <t>59_69</t>
  </si>
  <si>
    <t>60_58</t>
  </si>
  <si>
    <t>60_66</t>
  </si>
  <si>
    <t>60_59</t>
  </si>
  <si>
    <t>60_63</t>
  </si>
  <si>
    <t>61_60</t>
  </si>
  <si>
    <t>61_48</t>
  </si>
  <si>
    <t>61_47</t>
  </si>
  <si>
    <t>62_63</t>
  </si>
  <si>
    <t>Bong Dau 2 Cemetery - No. 234-236 Road No. 8 - Linh Xuan Ward</t>
  </si>
  <si>
    <t>62_59</t>
  </si>
  <si>
    <t>63_75</t>
  </si>
  <si>
    <t>Dao Son Tay High School - No. 51-53 Road No. 8 - Linh Xuan Ward</t>
  </si>
  <si>
    <t>63_62</t>
  </si>
  <si>
    <t>64_65</t>
  </si>
  <si>
    <t>64_42</t>
  </si>
  <si>
    <t>64_43</t>
  </si>
  <si>
    <t>64_1</t>
  </si>
  <si>
    <t>64_4</t>
  </si>
  <si>
    <t>64_19</t>
  </si>
  <si>
    <t>64_18</t>
  </si>
  <si>
    <t>64_41</t>
  </si>
  <si>
    <t>64_13</t>
  </si>
  <si>
    <t>64_15</t>
  </si>
  <si>
    <t>65_64</t>
  </si>
  <si>
    <t>65_46</t>
  </si>
  <si>
    <t>66_67</t>
  </si>
  <si>
    <t>Nissan Company - Opposite Nissan Company (No. 559) - National Highway 1</t>
  </si>
  <si>
    <t>67_68</t>
  </si>
  <si>
    <t>Linh Xuan Overpass - No. 4 National Highway 1K - Linh Xuan Ward</t>
  </si>
  <si>
    <t>67_87</t>
  </si>
  <si>
    <t>Vietcombank - Vietcombank Branch - National Highway 1 - Linh Trung Ward</t>
  </si>
  <si>
    <t>68_77</t>
  </si>
  <si>
    <t>68_69</t>
  </si>
  <si>
    <t>68_58</t>
  </si>
  <si>
    <t>68_61</t>
  </si>
  <si>
    <t>68_66</t>
  </si>
  <si>
    <t>68_89</t>
  </si>
  <si>
    <t>University of Economics and Law, VNU-HCM - Opposite No. 665 Co.opXtra - National Highway 1 - Linh Trung Ward</t>
  </si>
  <si>
    <t>69_70</t>
  </si>
  <si>
    <t>Linh Xuan Cao Dai Temple - No. 160 National Highway 1K - Linh Xuan Ward</t>
  </si>
  <si>
    <t>69_77</t>
  </si>
  <si>
    <t>69_74</t>
  </si>
  <si>
    <t>National Highway 1K - Opposite No. 22 Road No. 8 - Linh Xuan Ward</t>
  </si>
  <si>
    <t>70_71</t>
  </si>
  <si>
    <t>Road No. 8 - No. 202-204 National Highway 1K - Linh Xuan Ward</t>
  </si>
  <si>
    <t>71_76</t>
  </si>
  <si>
    <t>Linh Xuan Football Field - No. 62 Road No. 8 - Linh Xuan Ward</t>
  </si>
  <si>
    <t>71_72</t>
  </si>
  <si>
    <t>Tu Quang Pagoda - National Highway 1K - Linh Xuan Ward</t>
  </si>
  <si>
    <t>72_73</t>
  </si>
  <si>
    <t>Big C - 280A National Highway 1K - Linh Xuan Ward</t>
  </si>
  <si>
    <t>73_47</t>
  </si>
  <si>
    <t>73_50</t>
  </si>
  <si>
    <t>73_60</t>
  </si>
  <si>
    <t>74_83</t>
  </si>
  <si>
    <t>Road No. 8 - No. 167 National Highway 1K - Linh Xuan Ward</t>
  </si>
  <si>
    <t>74_72</t>
  </si>
  <si>
    <t>75_74</t>
  </si>
  <si>
    <t>75_70</t>
  </si>
  <si>
    <t>75_66</t>
  </si>
  <si>
    <t>Linh Xuan Market - National Highway 1K - Linh Xuan Ward</t>
  </si>
  <si>
    <t>76_77</t>
  </si>
  <si>
    <t>76_70</t>
  </si>
  <si>
    <t>76_66</t>
  </si>
  <si>
    <t>76_89</t>
  </si>
  <si>
    <t>77_62</t>
  </si>
  <si>
    <t>78_79</t>
  </si>
  <si>
    <t>78_40</t>
  </si>
  <si>
    <t>78_15</t>
  </si>
  <si>
    <t>78_35</t>
  </si>
  <si>
    <t>79_78</t>
  </si>
  <si>
    <t>79_37</t>
  </si>
  <si>
    <t>80_81</t>
  </si>
  <si>
    <t>Suoi Tien - Suoi Tien (120 Hanoi Highway) - Left Frontage Road of Hanoi Highway - Tan Phu Ward</t>
  </si>
  <si>
    <t>81_8</t>
  </si>
  <si>
    <t>81_33</t>
  </si>
  <si>
    <t>82_83</t>
  </si>
  <si>
    <t>82_76</t>
  </si>
  <si>
    <t>83_84</t>
  </si>
  <si>
    <t>Linh Xuan Cao Dai Temple - National Highway 1K</t>
  </si>
  <si>
    <t>84_85</t>
  </si>
  <si>
    <t>85_86</t>
  </si>
  <si>
    <t>86_87</t>
  </si>
  <si>
    <t>87_88</t>
  </si>
  <si>
    <t>City Cemetery - City Cemetery Gate - National Highway 1 - Linh Trung Ward</t>
  </si>
  <si>
    <t>88_58</t>
  </si>
  <si>
    <t>88_61</t>
  </si>
  <si>
    <t>88_89</t>
  </si>
  <si>
    <t>89_90</t>
  </si>
  <si>
    <t>Nong Lam University - Utility Pole SI 2 - National Highway 1 - Linh Trung Ward</t>
  </si>
  <si>
    <t>90_54</t>
  </si>
  <si>
    <t>90_91</t>
  </si>
  <si>
    <t>91_92</t>
  </si>
  <si>
    <t>Tram 2 Overpass - Kim Loi Gold Shop - National Highway 1</t>
  </si>
  <si>
    <t>92_80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</si>
</sst>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"/>
  <sheetViews>
    <sheetView tabSelected="1" workbookViewId="0">
      <selection activeCell="L6" sqref="L6"/>
    </sheetView>
  </sheetViews>
  <sheetFormatPr defaultRowHeight="14.4" x14ac:dyDescent="0.3"/>
  <cols>
    <col min="1" max="1" width="6.77734375" customWidth="1"/>
    <col min="2" max="2" width="12" customWidth="1"/>
    <col min="3" max="3" width="12.44140625" customWidth="1"/>
    <col min="4" max="4" width="13.21875" bestFit="1" customWidth="1"/>
    <col min="5" max="5" width="12.6640625" bestFit="1" customWidth="1"/>
    <col min="6" max="9" width="8.88671875" customWidth="1"/>
    <col min="10" max="10" width="132.44140625" bestFit="1" customWidth="1"/>
    <col min="11" max="11" width="27.88671875" customWidth="1"/>
    <col min="12" max="12" width="22.6640625" customWidth="1"/>
    <col min="13" max="13" width="30.21875" customWidth="1"/>
    <col min="14" max="14" width="24.6640625" customWidth="1"/>
    <col min="15" max="15" width="26.6640625" style="3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 x14ac:dyDescent="0.3">
      <c r="A2">
        <v>1</v>
      </c>
      <c r="B2">
        <v>3</v>
      </c>
      <c r="C2" t="s">
        <v>15</v>
      </c>
      <c r="D2" t="s">
        <v>16</v>
      </c>
      <c r="E2">
        <v>10.8771068</v>
      </c>
      <c r="F2">
        <v>106.8028618</v>
      </c>
      <c r="G2">
        <v>10.876632600000001</v>
      </c>
      <c r="H2">
        <v>106.80249139999999</v>
      </c>
      <c r="I2" t="s">
        <v>17</v>
      </c>
      <c r="J2" t="s">
        <v>18</v>
      </c>
      <c r="K2">
        <v>142</v>
      </c>
      <c r="L2">
        <f>K2/1000</f>
        <v>0.14199999999999999</v>
      </c>
      <c r="M2">
        <v>23</v>
      </c>
      <c r="N2">
        <v>0.38333333333333341</v>
      </c>
      <c r="O2" s="3">
        <v>22.22608695652174</v>
      </c>
    </row>
    <row r="3" spans="1:15" x14ac:dyDescent="0.3">
      <c r="A3">
        <v>1</v>
      </c>
      <c r="B3">
        <v>2</v>
      </c>
      <c r="C3" t="s">
        <v>19</v>
      </c>
      <c r="D3" t="s">
        <v>20</v>
      </c>
      <c r="E3">
        <v>10.8771068</v>
      </c>
      <c r="F3">
        <v>106.8028618</v>
      </c>
      <c r="G3">
        <v>10.8781307</v>
      </c>
      <c r="H3">
        <v>106.8027517</v>
      </c>
      <c r="I3" t="s">
        <v>17</v>
      </c>
      <c r="J3" t="s">
        <v>21</v>
      </c>
      <c r="K3">
        <v>111</v>
      </c>
      <c r="L3">
        <f t="shared" ref="L3:L66" si="0">K3/1000</f>
        <v>0.111</v>
      </c>
      <c r="M3">
        <v>16</v>
      </c>
      <c r="N3">
        <v>0.26666666666666672</v>
      </c>
      <c r="O3" s="3">
        <v>24.975000000000001</v>
      </c>
    </row>
    <row r="4" spans="1:15" x14ac:dyDescent="0.3">
      <c r="A4">
        <v>1</v>
      </c>
      <c r="B4">
        <v>5</v>
      </c>
      <c r="C4" t="s">
        <v>22</v>
      </c>
      <c r="D4" t="s">
        <v>16</v>
      </c>
      <c r="E4">
        <v>10.8771068</v>
      </c>
      <c r="F4">
        <v>106.8028618</v>
      </c>
      <c r="G4">
        <v>10.875638</v>
      </c>
      <c r="H4">
        <v>106.804914</v>
      </c>
      <c r="I4" t="s">
        <v>17</v>
      </c>
      <c r="J4" t="s">
        <v>23</v>
      </c>
      <c r="K4">
        <v>308</v>
      </c>
      <c r="L4">
        <f t="shared" si="0"/>
        <v>0.308</v>
      </c>
      <c r="M4">
        <v>47</v>
      </c>
      <c r="N4">
        <v>0.78333333333333333</v>
      </c>
      <c r="O4" s="3">
        <v>23.591489361702131</v>
      </c>
    </row>
    <row r="5" spans="1:15" x14ac:dyDescent="0.3">
      <c r="A5">
        <v>1</v>
      </c>
      <c r="B5">
        <v>25</v>
      </c>
      <c r="C5" t="s">
        <v>24</v>
      </c>
      <c r="D5" t="s">
        <v>16</v>
      </c>
      <c r="E5">
        <v>10.8771068</v>
      </c>
      <c r="F5">
        <v>106.8028618</v>
      </c>
      <c r="G5">
        <v>10.8736134</v>
      </c>
      <c r="H5">
        <v>106.8029052</v>
      </c>
      <c r="I5" t="s">
        <v>17</v>
      </c>
      <c r="J5" t="s">
        <v>25</v>
      </c>
      <c r="K5">
        <v>475</v>
      </c>
      <c r="L5">
        <f t="shared" si="0"/>
        <v>0.47499999999999998</v>
      </c>
      <c r="M5" s="2">
        <v>90.4905540561994</v>
      </c>
      <c r="N5">
        <v>1.5081759009366567</v>
      </c>
      <c r="O5" s="3">
        <v>18.896999999999998</v>
      </c>
    </row>
    <row r="6" spans="1:15" x14ac:dyDescent="0.3">
      <c r="A6">
        <v>2</v>
      </c>
      <c r="B6">
        <v>1</v>
      </c>
      <c r="C6" t="s">
        <v>26</v>
      </c>
      <c r="D6" t="s">
        <v>20</v>
      </c>
      <c r="E6">
        <v>10.8781307</v>
      </c>
      <c r="F6">
        <v>106.8027517</v>
      </c>
      <c r="G6">
        <v>10.8771068</v>
      </c>
      <c r="H6">
        <v>106.8028618</v>
      </c>
      <c r="I6" t="s">
        <v>21</v>
      </c>
      <c r="J6" t="s">
        <v>17</v>
      </c>
      <c r="K6">
        <v>111</v>
      </c>
      <c r="L6">
        <f t="shared" si="0"/>
        <v>0.111</v>
      </c>
      <c r="M6">
        <v>14</v>
      </c>
      <c r="N6">
        <v>0.23333333333333331</v>
      </c>
      <c r="O6" s="3">
        <v>28.542857142857141</v>
      </c>
    </row>
    <row r="7" spans="1:15" x14ac:dyDescent="0.3">
      <c r="A7">
        <v>2</v>
      </c>
      <c r="B7">
        <v>19</v>
      </c>
      <c r="C7" t="s">
        <v>28</v>
      </c>
      <c r="D7" t="s">
        <v>16</v>
      </c>
      <c r="E7">
        <v>10.8781307</v>
      </c>
      <c r="F7">
        <v>106.8027517</v>
      </c>
      <c r="G7">
        <v>10.874542999999999</v>
      </c>
      <c r="H7">
        <v>106.8001747</v>
      </c>
      <c r="I7" t="s">
        <v>21</v>
      </c>
      <c r="J7" t="s">
        <v>29</v>
      </c>
      <c r="K7">
        <v>1370</v>
      </c>
      <c r="L7">
        <f t="shared" si="0"/>
        <v>1.37</v>
      </c>
      <c r="M7">
        <v>323</v>
      </c>
      <c r="N7">
        <v>5.3833333333333337</v>
      </c>
      <c r="O7" s="3">
        <v>15.269349845201241</v>
      </c>
    </row>
    <row r="8" spans="1:15" x14ac:dyDescent="0.3">
      <c r="A8">
        <v>2</v>
      </c>
      <c r="B8">
        <v>42</v>
      </c>
      <c r="C8" t="s">
        <v>30</v>
      </c>
      <c r="D8" t="s">
        <v>16</v>
      </c>
      <c r="E8">
        <v>10.8781307</v>
      </c>
      <c r="F8">
        <v>106.8027517</v>
      </c>
      <c r="G8">
        <v>10.883092</v>
      </c>
      <c r="H8">
        <v>106.8</v>
      </c>
      <c r="I8" t="s">
        <v>21</v>
      </c>
      <c r="J8" t="s">
        <v>31</v>
      </c>
      <c r="K8">
        <v>686</v>
      </c>
      <c r="L8">
        <f t="shared" si="0"/>
        <v>0.68600000000000005</v>
      </c>
      <c r="M8">
        <v>98</v>
      </c>
      <c r="N8">
        <v>1.6333333333333331</v>
      </c>
      <c r="O8" s="3">
        <v>25.2</v>
      </c>
    </row>
    <row r="9" spans="1:15" x14ac:dyDescent="0.3">
      <c r="A9">
        <v>2</v>
      </c>
      <c r="B9">
        <v>43</v>
      </c>
      <c r="C9" t="s">
        <v>32</v>
      </c>
      <c r="D9" t="s">
        <v>16</v>
      </c>
      <c r="E9">
        <v>10.8781307</v>
      </c>
      <c r="F9">
        <v>106.8027517</v>
      </c>
      <c r="G9">
        <v>10.885055700000001</v>
      </c>
      <c r="H9">
        <v>106.80008220000001</v>
      </c>
      <c r="I9" t="s">
        <v>21</v>
      </c>
      <c r="J9" t="s">
        <v>33</v>
      </c>
      <c r="K9">
        <v>820</v>
      </c>
      <c r="L9">
        <f t="shared" si="0"/>
        <v>0.82</v>
      </c>
      <c r="M9">
        <v>99</v>
      </c>
      <c r="N9">
        <v>1.65</v>
      </c>
      <c r="O9" s="3">
        <v>29.81818181818182</v>
      </c>
    </row>
    <row r="10" spans="1:15" x14ac:dyDescent="0.3">
      <c r="A10">
        <v>2</v>
      </c>
      <c r="B10">
        <v>13</v>
      </c>
      <c r="C10" t="s">
        <v>34</v>
      </c>
      <c r="D10" t="s">
        <v>16</v>
      </c>
      <c r="E10">
        <v>10.8781307</v>
      </c>
      <c r="F10">
        <v>106.8027517</v>
      </c>
      <c r="G10">
        <v>10.8801103</v>
      </c>
      <c r="H10">
        <v>106.80718299999999</v>
      </c>
      <c r="I10" t="s">
        <v>21</v>
      </c>
      <c r="J10" t="s">
        <v>35</v>
      </c>
      <c r="K10">
        <v>895</v>
      </c>
      <c r="L10">
        <f t="shared" si="0"/>
        <v>0.89500000000000002</v>
      </c>
      <c r="M10">
        <v>156</v>
      </c>
      <c r="N10">
        <v>2.6</v>
      </c>
      <c r="O10" s="3">
        <v>20.65384615384615</v>
      </c>
    </row>
    <row r="11" spans="1:15" x14ac:dyDescent="0.3">
      <c r="A11">
        <v>2</v>
      </c>
      <c r="B11">
        <v>41</v>
      </c>
      <c r="C11" t="s">
        <v>36</v>
      </c>
      <c r="D11" t="s">
        <v>16</v>
      </c>
      <c r="E11">
        <v>10.8781307</v>
      </c>
      <c r="F11">
        <v>106.8027517</v>
      </c>
      <c r="G11">
        <v>10.887394199999999</v>
      </c>
      <c r="H11">
        <v>106.8047072</v>
      </c>
      <c r="I11" t="s">
        <v>21</v>
      </c>
      <c r="J11" t="s">
        <v>37</v>
      </c>
      <c r="K11">
        <v>1342</v>
      </c>
      <c r="L11">
        <f t="shared" si="0"/>
        <v>1.3420000000000001</v>
      </c>
      <c r="M11">
        <v>181</v>
      </c>
      <c r="N11">
        <v>3.0166666666666671</v>
      </c>
      <c r="O11" s="3">
        <v>26.691712707182319</v>
      </c>
    </row>
    <row r="12" spans="1:15" x14ac:dyDescent="0.3">
      <c r="A12">
        <v>2</v>
      </c>
      <c r="B12">
        <v>15</v>
      </c>
      <c r="C12" t="s">
        <v>38</v>
      </c>
      <c r="D12" t="s">
        <v>16</v>
      </c>
      <c r="E12">
        <v>10.8781307</v>
      </c>
      <c r="F12">
        <v>106.8027517</v>
      </c>
      <c r="G12">
        <v>10.880791</v>
      </c>
      <c r="H12">
        <v>106.81063399999999</v>
      </c>
      <c r="I12" t="s">
        <v>21</v>
      </c>
      <c r="J12" t="s">
        <v>39</v>
      </c>
      <c r="K12">
        <v>1501</v>
      </c>
      <c r="L12">
        <f t="shared" si="0"/>
        <v>1.5009999999999999</v>
      </c>
      <c r="M12">
        <v>204</v>
      </c>
      <c r="N12">
        <v>3.4</v>
      </c>
      <c r="O12" s="3">
        <v>26.488235294117651</v>
      </c>
    </row>
    <row r="13" spans="1:15" x14ac:dyDescent="0.3">
      <c r="A13">
        <v>2</v>
      </c>
      <c r="B13">
        <v>35</v>
      </c>
      <c r="C13" t="s">
        <v>40</v>
      </c>
      <c r="D13" t="s">
        <v>16</v>
      </c>
      <c r="E13">
        <v>10.8781307</v>
      </c>
      <c r="F13">
        <v>106.8027517</v>
      </c>
      <c r="G13">
        <v>10.8809737</v>
      </c>
      <c r="H13">
        <v>106.8142454</v>
      </c>
      <c r="I13" t="s">
        <v>21</v>
      </c>
      <c r="J13" t="s">
        <v>41</v>
      </c>
      <c r="K13">
        <v>2320</v>
      </c>
      <c r="L13">
        <f t="shared" si="0"/>
        <v>2.3199999999999998</v>
      </c>
      <c r="M13" s="2">
        <v>334.60197908737632</v>
      </c>
      <c r="N13">
        <v>5.5766996514562717</v>
      </c>
      <c r="O13" s="3">
        <v>24.960999999999999</v>
      </c>
    </row>
    <row r="14" spans="1:15" x14ac:dyDescent="0.3">
      <c r="A14">
        <v>3</v>
      </c>
      <c r="B14">
        <v>4</v>
      </c>
      <c r="C14" t="s">
        <v>42</v>
      </c>
      <c r="D14" t="s">
        <v>20</v>
      </c>
      <c r="E14">
        <v>10.876632600000001</v>
      </c>
      <c r="F14">
        <v>106.80249139999999</v>
      </c>
      <c r="G14">
        <v>10.876407499999999</v>
      </c>
      <c r="H14">
        <v>106.8024855</v>
      </c>
      <c r="I14" t="s">
        <v>18</v>
      </c>
      <c r="J14" t="s">
        <v>43</v>
      </c>
      <c r="K14">
        <v>396</v>
      </c>
      <c r="L14">
        <f t="shared" si="0"/>
        <v>0.39600000000000002</v>
      </c>
      <c r="M14">
        <v>951</v>
      </c>
      <c r="N14">
        <v>15.85</v>
      </c>
      <c r="O14" s="3">
        <v>1.499053627760252</v>
      </c>
    </row>
    <row r="15" spans="1:15" x14ac:dyDescent="0.3">
      <c r="A15">
        <v>3</v>
      </c>
      <c r="B15">
        <v>18</v>
      </c>
      <c r="C15" t="s">
        <v>44</v>
      </c>
      <c r="D15" t="s">
        <v>16</v>
      </c>
      <c r="E15">
        <v>10.876632600000001</v>
      </c>
      <c r="F15">
        <v>106.80249139999999</v>
      </c>
      <c r="G15">
        <v>10.874378500000001</v>
      </c>
      <c r="H15">
        <v>106.7999792</v>
      </c>
      <c r="I15" t="s">
        <v>18</v>
      </c>
      <c r="J15" t="s">
        <v>45</v>
      </c>
      <c r="K15">
        <v>486</v>
      </c>
      <c r="L15">
        <f t="shared" si="0"/>
        <v>0.48599999999999999</v>
      </c>
      <c r="M15">
        <v>79</v>
      </c>
      <c r="N15">
        <v>1.3166666666666671</v>
      </c>
      <c r="O15" s="3">
        <v>22.146835443037979</v>
      </c>
    </row>
    <row r="16" spans="1:15" x14ac:dyDescent="0.3">
      <c r="A16">
        <v>3</v>
      </c>
      <c r="B16">
        <v>19</v>
      </c>
      <c r="C16" t="s">
        <v>46</v>
      </c>
      <c r="D16" t="s">
        <v>16</v>
      </c>
      <c r="E16">
        <v>10.876632600000001</v>
      </c>
      <c r="F16">
        <v>106.80249139999999</v>
      </c>
      <c r="G16">
        <v>10.874542999999999</v>
      </c>
      <c r="H16">
        <v>106.8001747</v>
      </c>
      <c r="I16" t="s">
        <v>18</v>
      </c>
      <c r="J16" t="s">
        <v>29</v>
      </c>
      <c r="K16">
        <v>484</v>
      </c>
      <c r="L16">
        <f t="shared" si="0"/>
        <v>0.48399999999999999</v>
      </c>
      <c r="M16">
        <v>79</v>
      </c>
      <c r="N16">
        <v>1.3166666666666671</v>
      </c>
      <c r="O16" s="3">
        <v>22.055696202531649</v>
      </c>
    </row>
    <row r="17" spans="1:15" x14ac:dyDescent="0.3">
      <c r="A17">
        <v>3</v>
      </c>
      <c r="B17">
        <v>65</v>
      </c>
      <c r="C17" t="s">
        <v>47</v>
      </c>
      <c r="D17" t="s">
        <v>16</v>
      </c>
      <c r="E17">
        <v>10.876632600000001</v>
      </c>
      <c r="F17">
        <v>106.80249139999999</v>
      </c>
      <c r="G17">
        <v>10.8809022</v>
      </c>
      <c r="H17">
        <v>106.7955379</v>
      </c>
      <c r="I17" t="s">
        <v>18</v>
      </c>
      <c r="J17" t="s">
        <v>48</v>
      </c>
      <c r="K17">
        <v>1043</v>
      </c>
      <c r="L17">
        <f t="shared" si="0"/>
        <v>1.0429999999999999</v>
      </c>
      <c r="M17">
        <v>137</v>
      </c>
      <c r="N17">
        <v>2.2833333333333332</v>
      </c>
      <c r="O17" s="3">
        <v>27.40729927007299</v>
      </c>
    </row>
    <row r="18" spans="1:15" x14ac:dyDescent="0.3">
      <c r="A18">
        <v>4</v>
      </c>
      <c r="B18">
        <v>3</v>
      </c>
      <c r="C18" t="s">
        <v>49</v>
      </c>
      <c r="D18" t="s">
        <v>20</v>
      </c>
      <c r="E18">
        <v>10.876407499999999</v>
      </c>
      <c r="F18">
        <v>106.8024855</v>
      </c>
      <c r="G18">
        <v>10.876632600000001</v>
      </c>
      <c r="H18">
        <v>106.80249139999999</v>
      </c>
      <c r="I18" t="s">
        <v>43</v>
      </c>
      <c r="J18" t="s">
        <v>18</v>
      </c>
      <c r="K18">
        <v>203</v>
      </c>
      <c r="L18">
        <f t="shared" si="0"/>
        <v>0.20300000000000001</v>
      </c>
      <c r="M18">
        <v>30</v>
      </c>
      <c r="N18">
        <v>0.5</v>
      </c>
      <c r="O18" s="3">
        <v>24.36</v>
      </c>
    </row>
    <row r="19" spans="1:15" x14ac:dyDescent="0.3">
      <c r="A19">
        <v>4</v>
      </c>
      <c r="B19">
        <v>2</v>
      </c>
      <c r="C19" t="s">
        <v>50</v>
      </c>
      <c r="D19" t="s">
        <v>16</v>
      </c>
      <c r="E19">
        <v>10.876407499999999</v>
      </c>
      <c r="F19">
        <v>106.8024855</v>
      </c>
      <c r="G19">
        <v>10.8781307</v>
      </c>
      <c r="H19">
        <v>106.8027517</v>
      </c>
      <c r="I19" t="s">
        <v>43</v>
      </c>
      <c r="J19" t="s">
        <v>21</v>
      </c>
      <c r="K19">
        <v>285</v>
      </c>
      <c r="L19">
        <f t="shared" si="0"/>
        <v>0.28499999999999998</v>
      </c>
      <c r="M19" s="2">
        <v>37.079869895193347</v>
      </c>
      <c r="N19">
        <v>0.61799783158655575</v>
      </c>
      <c r="O19" s="3">
        <v>27.67</v>
      </c>
    </row>
    <row r="20" spans="1:15" x14ac:dyDescent="0.3">
      <c r="A20">
        <v>4</v>
      </c>
      <c r="B20">
        <v>5</v>
      </c>
      <c r="C20" t="s">
        <v>51</v>
      </c>
      <c r="D20" t="s">
        <v>16</v>
      </c>
      <c r="E20">
        <v>10.876407499999999</v>
      </c>
      <c r="F20">
        <v>106.8024855</v>
      </c>
      <c r="G20">
        <v>10.875638</v>
      </c>
      <c r="H20">
        <v>106.804914</v>
      </c>
      <c r="I20" t="s">
        <v>43</v>
      </c>
      <c r="J20" t="s">
        <v>23</v>
      </c>
      <c r="K20">
        <v>293</v>
      </c>
      <c r="L20">
        <f t="shared" si="0"/>
        <v>0.29299999999999998</v>
      </c>
      <c r="M20">
        <v>39</v>
      </c>
      <c r="N20">
        <v>0.65</v>
      </c>
      <c r="O20" s="3">
        <v>27.046153846153839</v>
      </c>
    </row>
    <row r="21" spans="1:15" x14ac:dyDescent="0.3">
      <c r="A21">
        <v>4</v>
      </c>
      <c r="B21">
        <v>25</v>
      </c>
      <c r="C21" t="s">
        <v>52</v>
      </c>
      <c r="D21" t="s">
        <v>16</v>
      </c>
      <c r="E21">
        <v>10.876407499999999</v>
      </c>
      <c r="F21">
        <v>106.8024855</v>
      </c>
      <c r="G21">
        <v>10.8736134</v>
      </c>
      <c r="H21">
        <v>106.8029052</v>
      </c>
      <c r="I21" t="s">
        <v>43</v>
      </c>
      <c r="J21" t="s">
        <v>25</v>
      </c>
      <c r="K21">
        <v>462</v>
      </c>
      <c r="L21">
        <f t="shared" si="0"/>
        <v>0.46200000000000002</v>
      </c>
      <c r="M21" s="2">
        <v>70.349378225192453</v>
      </c>
      <c r="N21">
        <v>1.172489637086541</v>
      </c>
      <c r="O21" s="3">
        <v>23.641999999999999</v>
      </c>
    </row>
    <row r="22" spans="1:15" x14ac:dyDescent="0.3">
      <c r="A22">
        <v>5</v>
      </c>
      <c r="B22">
        <v>6</v>
      </c>
      <c r="C22" t="s">
        <v>53</v>
      </c>
      <c r="D22" t="s">
        <v>20</v>
      </c>
      <c r="E22">
        <v>10.875638</v>
      </c>
      <c r="F22">
        <v>106.804914</v>
      </c>
      <c r="G22">
        <v>10.875778</v>
      </c>
      <c r="H22">
        <v>106.80510080000001</v>
      </c>
      <c r="I22" t="s">
        <v>23</v>
      </c>
      <c r="J22" t="s">
        <v>54</v>
      </c>
      <c r="K22">
        <v>194</v>
      </c>
      <c r="L22">
        <f t="shared" si="0"/>
        <v>0.19400000000000001</v>
      </c>
      <c r="M22">
        <v>32</v>
      </c>
      <c r="N22">
        <v>0.53333333333333333</v>
      </c>
      <c r="O22" s="3">
        <v>21.824999999999999</v>
      </c>
    </row>
    <row r="23" spans="1:15" x14ac:dyDescent="0.3">
      <c r="A23">
        <v>5</v>
      </c>
      <c r="B23">
        <v>7</v>
      </c>
      <c r="C23" t="s">
        <v>55</v>
      </c>
      <c r="D23" t="s">
        <v>16</v>
      </c>
      <c r="E23">
        <v>10.875638</v>
      </c>
      <c r="F23">
        <v>106.804914</v>
      </c>
      <c r="G23">
        <v>10.8746507</v>
      </c>
      <c r="H23">
        <v>106.80613719999999</v>
      </c>
      <c r="I23" t="s">
        <v>23</v>
      </c>
      <c r="J23" t="s">
        <v>56</v>
      </c>
      <c r="K23">
        <v>191</v>
      </c>
      <c r="L23">
        <f t="shared" si="0"/>
        <v>0.191</v>
      </c>
      <c r="M23">
        <v>38</v>
      </c>
      <c r="N23">
        <v>0.6333333333333333</v>
      </c>
      <c r="O23" s="3">
        <v>18.094736842105259</v>
      </c>
    </row>
    <row r="24" spans="1:15" x14ac:dyDescent="0.3">
      <c r="A24">
        <v>5</v>
      </c>
      <c r="B24">
        <v>25</v>
      </c>
      <c r="C24" t="s">
        <v>57</v>
      </c>
      <c r="D24" t="s">
        <v>16</v>
      </c>
      <c r="E24">
        <v>10.875638</v>
      </c>
      <c r="F24">
        <v>106.804914</v>
      </c>
      <c r="G24">
        <v>10.8736134</v>
      </c>
      <c r="H24">
        <v>106.8029052</v>
      </c>
      <c r="I24" t="s">
        <v>23</v>
      </c>
      <c r="J24" t="s">
        <v>25</v>
      </c>
      <c r="K24">
        <v>425</v>
      </c>
      <c r="L24">
        <f t="shared" si="0"/>
        <v>0.42499999999999999</v>
      </c>
      <c r="M24">
        <v>65</v>
      </c>
      <c r="N24">
        <v>1.083333333333333</v>
      </c>
      <c r="O24" s="3">
        <v>23.53846153846154</v>
      </c>
    </row>
    <row r="25" spans="1:15" x14ac:dyDescent="0.3">
      <c r="A25">
        <v>6</v>
      </c>
      <c r="B25">
        <v>17</v>
      </c>
      <c r="C25" t="s">
        <v>58</v>
      </c>
      <c r="D25" t="s">
        <v>59</v>
      </c>
      <c r="E25">
        <v>10.875778</v>
      </c>
      <c r="F25">
        <v>106.80510080000001</v>
      </c>
      <c r="G25">
        <v>10.876530799999999</v>
      </c>
      <c r="H25">
        <v>106.805115</v>
      </c>
      <c r="I25" t="s">
        <v>54</v>
      </c>
      <c r="J25" t="s">
        <v>60</v>
      </c>
      <c r="K25">
        <v>139</v>
      </c>
      <c r="L25">
        <f t="shared" si="0"/>
        <v>0.13900000000000001</v>
      </c>
      <c r="M25">
        <v>35</v>
      </c>
      <c r="N25">
        <v>0.58333333333333337</v>
      </c>
      <c r="O25" s="3">
        <v>14.297142857142861</v>
      </c>
    </row>
    <row r="26" spans="1:15" x14ac:dyDescent="0.3">
      <c r="A26">
        <v>6</v>
      </c>
      <c r="B26">
        <v>3</v>
      </c>
      <c r="C26" t="s">
        <v>61</v>
      </c>
      <c r="D26" t="s">
        <v>16</v>
      </c>
      <c r="E26">
        <v>10.875778</v>
      </c>
      <c r="F26">
        <v>106.80510080000001</v>
      </c>
      <c r="G26">
        <v>10.876632600000001</v>
      </c>
      <c r="H26">
        <v>106.80249139999999</v>
      </c>
      <c r="I26" t="s">
        <v>54</v>
      </c>
      <c r="J26" t="s">
        <v>18</v>
      </c>
      <c r="K26">
        <v>306</v>
      </c>
      <c r="L26">
        <f t="shared" si="0"/>
        <v>0.30599999999999999</v>
      </c>
      <c r="M26">
        <v>42</v>
      </c>
      <c r="N26">
        <v>0.7</v>
      </c>
      <c r="O26" s="3">
        <v>26.228571428571431</v>
      </c>
    </row>
    <row r="27" spans="1:15" x14ac:dyDescent="0.3">
      <c r="A27">
        <v>6</v>
      </c>
      <c r="B27">
        <v>2</v>
      </c>
      <c r="C27" t="s">
        <v>62</v>
      </c>
      <c r="D27" t="s">
        <v>16</v>
      </c>
      <c r="E27">
        <v>10.875778</v>
      </c>
      <c r="F27">
        <v>106.80510080000001</v>
      </c>
      <c r="G27">
        <v>10.8781307</v>
      </c>
      <c r="H27">
        <v>106.8027517</v>
      </c>
      <c r="I27" t="s">
        <v>54</v>
      </c>
      <c r="J27" t="s">
        <v>21</v>
      </c>
      <c r="K27">
        <v>404</v>
      </c>
      <c r="L27">
        <f t="shared" si="0"/>
        <v>0.40400000000000003</v>
      </c>
      <c r="M27" s="2">
        <v>52.789372436572187</v>
      </c>
      <c r="N27">
        <v>0.87982287394286973</v>
      </c>
      <c r="O27" s="3">
        <v>27.550999999999998</v>
      </c>
    </row>
    <row r="28" spans="1:15" x14ac:dyDescent="0.3">
      <c r="A28">
        <v>6</v>
      </c>
      <c r="B28">
        <v>5</v>
      </c>
      <c r="C28" t="s">
        <v>63</v>
      </c>
      <c r="D28" t="s">
        <v>20</v>
      </c>
      <c r="E28">
        <v>10.875778</v>
      </c>
      <c r="F28">
        <v>106.80510080000001</v>
      </c>
      <c r="G28">
        <v>10.875638</v>
      </c>
      <c r="H28">
        <v>106.804914</v>
      </c>
      <c r="I28" t="s">
        <v>54</v>
      </c>
      <c r="J28" t="s">
        <v>23</v>
      </c>
      <c r="K28">
        <v>472</v>
      </c>
      <c r="L28">
        <f t="shared" si="0"/>
        <v>0.47199999999999998</v>
      </c>
      <c r="M28">
        <v>65</v>
      </c>
      <c r="N28">
        <v>1.083333333333333</v>
      </c>
      <c r="O28" s="3">
        <v>26.14153846153846</v>
      </c>
    </row>
    <row r="29" spans="1:15" x14ac:dyDescent="0.3">
      <c r="A29">
        <v>6</v>
      </c>
      <c r="B29">
        <v>25</v>
      </c>
      <c r="C29" t="s">
        <v>64</v>
      </c>
      <c r="D29" t="s">
        <v>16</v>
      </c>
      <c r="E29">
        <v>10.875778</v>
      </c>
      <c r="F29">
        <v>106.80510080000001</v>
      </c>
      <c r="G29">
        <v>10.8736134</v>
      </c>
      <c r="H29">
        <v>106.8029052</v>
      </c>
      <c r="I29" t="s">
        <v>54</v>
      </c>
      <c r="J29" t="s">
        <v>25</v>
      </c>
      <c r="K29">
        <v>643</v>
      </c>
      <c r="L29">
        <f t="shared" si="0"/>
        <v>0.64300000000000002</v>
      </c>
      <c r="M29" s="2">
        <v>74.261332648936516</v>
      </c>
      <c r="N29">
        <v>1.2376888774822752</v>
      </c>
      <c r="O29" s="3">
        <v>31.170999999999999</v>
      </c>
    </row>
    <row r="30" spans="1:15" x14ac:dyDescent="0.3">
      <c r="A30">
        <v>7</v>
      </c>
      <c r="B30">
        <v>9</v>
      </c>
      <c r="C30" t="s">
        <v>65</v>
      </c>
      <c r="D30" t="s">
        <v>16</v>
      </c>
      <c r="E30">
        <v>10.8746507</v>
      </c>
      <c r="F30">
        <v>106.80613719999999</v>
      </c>
      <c r="G30">
        <v>10.875902699999999</v>
      </c>
      <c r="H30">
        <v>106.80755720000001</v>
      </c>
      <c r="I30" t="s">
        <v>56</v>
      </c>
      <c r="J30" t="s">
        <v>66</v>
      </c>
      <c r="K30">
        <v>233</v>
      </c>
      <c r="L30">
        <f t="shared" si="0"/>
        <v>0.23300000000000001</v>
      </c>
      <c r="M30">
        <v>43</v>
      </c>
      <c r="N30">
        <v>0.71666666666666667</v>
      </c>
      <c r="O30" s="3">
        <v>19.506976744186051</v>
      </c>
    </row>
    <row r="31" spans="1:15" x14ac:dyDescent="0.3">
      <c r="A31">
        <v>7</v>
      </c>
      <c r="B31">
        <v>33</v>
      </c>
      <c r="C31" t="s">
        <v>67</v>
      </c>
      <c r="D31" t="s">
        <v>16</v>
      </c>
      <c r="E31">
        <v>10.8746507</v>
      </c>
      <c r="F31">
        <v>106.80613719999999</v>
      </c>
      <c r="G31">
        <v>10.8713888</v>
      </c>
      <c r="H31">
        <v>106.80665980000001</v>
      </c>
      <c r="I31" t="s">
        <v>56</v>
      </c>
      <c r="J31" t="s">
        <v>68</v>
      </c>
      <c r="K31">
        <v>527</v>
      </c>
      <c r="L31">
        <f t="shared" si="0"/>
        <v>0.52700000000000002</v>
      </c>
      <c r="M31" s="2">
        <v>73.603351955307275</v>
      </c>
      <c r="N31">
        <v>1.2267225325884545</v>
      </c>
      <c r="O31" s="3">
        <v>25.776</v>
      </c>
    </row>
    <row r="32" spans="1:15" x14ac:dyDescent="0.3">
      <c r="A32">
        <v>8</v>
      </c>
      <c r="B32">
        <v>9</v>
      </c>
      <c r="C32" t="s">
        <v>69</v>
      </c>
      <c r="D32" t="s">
        <v>16</v>
      </c>
      <c r="E32">
        <v>10.874314099999999</v>
      </c>
      <c r="F32">
        <v>106.80705399999999</v>
      </c>
      <c r="G32">
        <v>10.875902699999999</v>
      </c>
      <c r="H32">
        <v>106.80755720000001</v>
      </c>
      <c r="I32" t="s">
        <v>70</v>
      </c>
      <c r="J32" t="s">
        <v>66</v>
      </c>
      <c r="K32">
        <v>250</v>
      </c>
      <c r="L32">
        <f t="shared" si="0"/>
        <v>0.25</v>
      </c>
      <c r="M32">
        <v>45</v>
      </c>
      <c r="N32">
        <v>0.75</v>
      </c>
      <c r="O32" s="3">
        <v>20</v>
      </c>
    </row>
    <row r="33" spans="1:15" x14ac:dyDescent="0.3">
      <c r="A33">
        <v>8</v>
      </c>
      <c r="B33">
        <v>7</v>
      </c>
      <c r="C33" t="s">
        <v>71</v>
      </c>
      <c r="D33" t="s">
        <v>20</v>
      </c>
      <c r="E33">
        <v>10.874314099999999</v>
      </c>
      <c r="F33">
        <v>106.80705399999999</v>
      </c>
      <c r="G33">
        <v>10.8746507</v>
      </c>
      <c r="H33">
        <v>106.80613719999999</v>
      </c>
      <c r="I33" t="s">
        <v>70</v>
      </c>
      <c r="J33" t="s">
        <v>56</v>
      </c>
      <c r="K33">
        <v>107</v>
      </c>
      <c r="L33">
        <f t="shared" si="0"/>
        <v>0.107</v>
      </c>
      <c r="M33">
        <v>21</v>
      </c>
      <c r="N33">
        <v>0.35</v>
      </c>
      <c r="O33" s="3">
        <v>18.342857142857142</v>
      </c>
    </row>
    <row r="34" spans="1:15" x14ac:dyDescent="0.3">
      <c r="A34">
        <v>8</v>
      </c>
      <c r="B34">
        <v>6</v>
      </c>
      <c r="C34" t="s">
        <v>72</v>
      </c>
      <c r="D34" t="s">
        <v>16</v>
      </c>
      <c r="E34">
        <v>10.874314099999999</v>
      </c>
      <c r="F34">
        <v>106.80705399999999</v>
      </c>
      <c r="G34">
        <v>10.875778</v>
      </c>
      <c r="H34">
        <v>106.80510080000001</v>
      </c>
      <c r="I34" t="s">
        <v>70</v>
      </c>
      <c r="J34" t="s">
        <v>54</v>
      </c>
      <c r="K34">
        <v>291</v>
      </c>
      <c r="L34">
        <f t="shared" si="0"/>
        <v>0.29099999999999998</v>
      </c>
      <c r="M34" s="2">
        <v>27.57277464862873</v>
      </c>
      <c r="N34">
        <v>0.45954624414381218</v>
      </c>
      <c r="O34" s="3">
        <v>37.994</v>
      </c>
    </row>
    <row r="35" spans="1:15" x14ac:dyDescent="0.3">
      <c r="A35">
        <v>8</v>
      </c>
      <c r="B35">
        <v>25</v>
      </c>
      <c r="C35" t="s">
        <v>73</v>
      </c>
      <c r="D35" t="s">
        <v>16</v>
      </c>
      <c r="E35">
        <v>10.874314099999999</v>
      </c>
      <c r="F35">
        <v>106.80705399999999</v>
      </c>
      <c r="G35">
        <v>10.8736134</v>
      </c>
      <c r="H35">
        <v>106.8029052</v>
      </c>
      <c r="I35" t="s">
        <v>70</v>
      </c>
      <c r="J35" t="s">
        <v>25</v>
      </c>
      <c r="K35">
        <v>591</v>
      </c>
      <c r="L35">
        <f t="shared" si="0"/>
        <v>0.59099999999999997</v>
      </c>
      <c r="M35" s="2">
        <v>80.783688347192154</v>
      </c>
      <c r="N35">
        <v>1.3463948057865358</v>
      </c>
      <c r="O35" s="3">
        <v>26.337</v>
      </c>
    </row>
    <row r="36" spans="1:15" x14ac:dyDescent="0.3">
      <c r="A36">
        <v>9</v>
      </c>
      <c r="B36">
        <v>10</v>
      </c>
      <c r="C36" t="s">
        <v>74</v>
      </c>
      <c r="D36" t="s">
        <v>20</v>
      </c>
      <c r="E36">
        <v>10.875902699999999</v>
      </c>
      <c r="F36">
        <v>106.80755720000001</v>
      </c>
      <c r="G36">
        <v>10.876201399999999</v>
      </c>
      <c r="H36">
        <v>106.807517</v>
      </c>
      <c r="I36" t="s">
        <v>66</v>
      </c>
      <c r="J36" t="s">
        <v>75</v>
      </c>
      <c r="K36">
        <v>25</v>
      </c>
      <c r="L36">
        <f t="shared" si="0"/>
        <v>2.5000000000000001E-2</v>
      </c>
      <c r="M36">
        <v>3</v>
      </c>
      <c r="N36">
        <v>0.05</v>
      </c>
      <c r="O36" s="3">
        <v>30</v>
      </c>
    </row>
    <row r="37" spans="1:15" x14ac:dyDescent="0.3">
      <c r="A37">
        <v>9</v>
      </c>
      <c r="B37">
        <v>16</v>
      </c>
      <c r="C37" t="s">
        <v>76</v>
      </c>
      <c r="D37" t="s">
        <v>16</v>
      </c>
      <c r="E37">
        <v>10.875902699999999</v>
      </c>
      <c r="F37">
        <v>106.80755720000001</v>
      </c>
      <c r="G37">
        <v>10.880699999999999</v>
      </c>
      <c r="H37">
        <v>106.81077999999999</v>
      </c>
      <c r="I37" t="s">
        <v>66</v>
      </c>
      <c r="J37" t="s">
        <v>77</v>
      </c>
      <c r="K37">
        <v>637</v>
      </c>
      <c r="L37">
        <f t="shared" si="0"/>
        <v>0.63700000000000001</v>
      </c>
      <c r="M37">
        <v>70</v>
      </c>
      <c r="N37">
        <v>1.166666666666667</v>
      </c>
      <c r="O37" s="3">
        <v>32.76</v>
      </c>
    </row>
    <row r="38" spans="1:15" x14ac:dyDescent="0.3">
      <c r="A38">
        <v>10</v>
      </c>
      <c r="B38">
        <v>9</v>
      </c>
      <c r="C38" t="s">
        <v>78</v>
      </c>
      <c r="D38" t="s">
        <v>20</v>
      </c>
      <c r="E38">
        <v>10.876201399999999</v>
      </c>
      <c r="F38">
        <v>106.807517</v>
      </c>
      <c r="G38">
        <v>10.875902699999999</v>
      </c>
      <c r="H38">
        <v>106.80755720000001</v>
      </c>
      <c r="I38" t="s">
        <v>75</v>
      </c>
      <c r="J38" t="s">
        <v>66</v>
      </c>
      <c r="K38">
        <v>25</v>
      </c>
      <c r="L38">
        <f t="shared" si="0"/>
        <v>2.5000000000000001E-2</v>
      </c>
      <c r="M38">
        <v>3</v>
      </c>
      <c r="N38">
        <v>0.05</v>
      </c>
      <c r="O38" s="3">
        <v>30</v>
      </c>
    </row>
    <row r="39" spans="1:15" x14ac:dyDescent="0.3">
      <c r="A39">
        <v>10</v>
      </c>
      <c r="B39">
        <v>7</v>
      </c>
      <c r="C39" t="s">
        <v>79</v>
      </c>
      <c r="D39" t="s">
        <v>59</v>
      </c>
      <c r="E39">
        <v>10.876201399999999</v>
      </c>
      <c r="F39">
        <v>106.807517</v>
      </c>
      <c r="G39">
        <v>10.8746507</v>
      </c>
      <c r="H39">
        <v>106.80613719999999</v>
      </c>
      <c r="I39" t="s">
        <v>75</v>
      </c>
      <c r="J39" t="s">
        <v>56</v>
      </c>
      <c r="K39">
        <v>259</v>
      </c>
      <c r="L39">
        <f t="shared" si="0"/>
        <v>0.25900000000000001</v>
      </c>
      <c r="M39">
        <v>52</v>
      </c>
      <c r="N39">
        <v>0.8666666666666667</v>
      </c>
      <c r="O39" s="3">
        <v>17.930769230769229</v>
      </c>
    </row>
    <row r="40" spans="1:15" x14ac:dyDescent="0.3">
      <c r="A40">
        <v>10</v>
      </c>
      <c r="B40">
        <v>6</v>
      </c>
      <c r="C40" t="s">
        <v>80</v>
      </c>
      <c r="D40" t="s">
        <v>59</v>
      </c>
      <c r="E40">
        <v>10.876201399999999</v>
      </c>
      <c r="F40">
        <v>106.807517</v>
      </c>
      <c r="G40">
        <v>10.875778</v>
      </c>
      <c r="H40">
        <v>106.80510080000001</v>
      </c>
      <c r="I40" t="s">
        <v>75</v>
      </c>
      <c r="J40" t="s">
        <v>54</v>
      </c>
      <c r="K40">
        <v>439</v>
      </c>
      <c r="L40">
        <f t="shared" si="0"/>
        <v>0.439</v>
      </c>
      <c r="M40" s="2">
        <v>51.67238842569887</v>
      </c>
      <c r="N40">
        <v>0.86120647376164783</v>
      </c>
      <c r="O40" s="3">
        <v>30.585000000000001</v>
      </c>
    </row>
    <row r="41" spans="1:15" x14ac:dyDescent="0.3">
      <c r="A41">
        <v>10</v>
      </c>
      <c r="B41">
        <v>33</v>
      </c>
      <c r="C41" t="s">
        <v>81</v>
      </c>
      <c r="D41" t="s">
        <v>16</v>
      </c>
      <c r="E41">
        <v>10.876201399999999</v>
      </c>
      <c r="F41">
        <v>106.807517</v>
      </c>
      <c r="G41">
        <v>10.8713888</v>
      </c>
      <c r="H41">
        <v>106.80665980000001</v>
      </c>
      <c r="I41" t="s">
        <v>75</v>
      </c>
      <c r="J41" t="s">
        <v>68</v>
      </c>
      <c r="K41">
        <v>650</v>
      </c>
      <c r="L41">
        <f t="shared" si="0"/>
        <v>0.65</v>
      </c>
      <c r="M41">
        <v>141</v>
      </c>
      <c r="N41">
        <v>2.35</v>
      </c>
      <c r="O41" s="3">
        <v>16.595744680851059</v>
      </c>
    </row>
    <row r="42" spans="1:15" x14ac:dyDescent="0.3">
      <c r="A42">
        <v>10</v>
      </c>
      <c r="B42">
        <v>25</v>
      </c>
      <c r="C42" t="s">
        <v>82</v>
      </c>
      <c r="D42" t="s">
        <v>16</v>
      </c>
      <c r="E42">
        <v>10.876201399999999</v>
      </c>
      <c r="F42">
        <v>106.807517</v>
      </c>
      <c r="G42">
        <v>10.8736134</v>
      </c>
      <c r="H42">
        <v>106.8029052</v>
      </c>
      <c r="I42" t="s">
        <v>75</v>
      </c>
      <c r="J42" t="s">
        <v>25</v>
      </c>
      <c r="K42">
        <v>739</v>
      </c>
      <c r="L42">
        <f t="shared" si="0"/>
        <v>0.73899999999999999</v>
      </c>
      <c r="M42" s="2">
        <v>119.22559827910727</v>
      </c>
      <c r="N42">
        <v>1.9870933046517878</v>
      </c>
      <c r="O42" s="3">
        <v>22.314</v>
      </c>
    </row>
    <row r="43" spans="1:15" x14ac:dyDescent="0.3">
      <c r="A43">
        <v>11</v>
      </c>
      <c r="B43">
        <v>12</v>
      </c>
      <c r="C43" t="s">
        <v>83</v>
      </c>
      <c r="D43" t="s">
        <v>20</v>
      </c>
      <c r="E43">
        <v>10.877729</v>
      </c>
      <c r="F43">
        <v>106.805858</v>
      </c>
      <c r="G43">
        <v>10.877855800000001</v>
      </c>
      <c r="H43">
        <v>106.805685</v>
      </c>
      <c r="I43" t="s">
        <v>84</v>
      </c>
      <c r="J43" t="s">
        <v>85</v>
      </c>
      <c r="K43">
        <v>133</v>
      </c>
      <c r="L43">
        <f t="shared" si="0"/>
        <v>0.13300000000000001</v>
      </c>
      <c r="M43">
        <v>88</v>
      </c>
      <c r="N43">
        <v>1.466666666666667</v>
      </c>
      <c r="O43" s="3">
        <v>5.4409090909090896</v>
      </c>
    </row>
    <row r="44" spans="1:15" x14ac:dyDescent="0.3">
      <c r="A44">
        <v>11</v>
      </c>
      <c r="B44">
        <v>14</v>
      </c>
      <c r="C44" t="s">
        <v>86</v>
      </c>
      <c r="D44" t="s">
        <v>16</v>
      </c>
      <c r="E44">
        <v>10.877729</v>
      </c>
      <c r="F44">
        <v>106.805858</v>
      </c>
      <c r="G44">
        <v>10.879921</v>
      </c>
      <c r="H44">
        <v>106.80728999999999</v>
      </c>
      <c r="I44" t="s">
        <v>84</v>
      </c>
      <c r="J44" t="s">
        <v>87</v>
      </c>
      <c r="K44">
        <v>289</v>
      </c>
      <c r="L44">
        <f t="shared" si="0"/>
        <v>0.28899999999999998</v>
      </c>
      <c r="M44">
        <v>82</v>
      </c>
      <c r="N44">
        <v>1.3666666666666669</v>
      </c>
      <c r="O44" s="3">
        <v>12.68780487804878</v>
      </c>
    </row>
    <row r="45" spans="1:15" x14ac:dyDescent="0.3">
      <c r="A45">
        <v>12</v>
      </c>
      <c r="B45">
        <v>11</v>
      </c>
      <c r="C45" t="s">
        <v>88</v>
      </c>
      <c r="D45" t="s">
        <v>20</v>
      </c>
      <c r="E45">
        <v>10.877855800000001</v>
      </c>
      <c r="F45">
        <v>106.805685</v>
      </c>
      <c r="G45">
        <v>10.877729</v>
      </c>
      <c r="H45">
        <v>106.805858</v>
      </c>
      <c r="I45" t="s">
        <v>85</v>
      </c>
      <c r="J45" t="s">
        <v>84</v>
      </c>
      <c r="K45">
        <v>138</v>
      </c>
      <c r="L45">
        <f t="shared" si="0"/>
        <v>0.13800000000000001</v>
      </c>
      <c r="M45">
        <v>66</v>
      </c>
      <c r="N45">
        <v>1.1000000000000001</v>
      </c>
      <c r="O45" s="3">
        <v>7.5272727272727282</v>
      </c>
    </row>
    <row r="46" spans="1:15" x14ac:dyDescent="0.3">
      <c r="A46">
        <v>12</v>
      </c>
      <c r="B46">
        <v>3</v>
      </c>
      <c r="C46" t="s">
        <v>89</v>
      </c>
      <c r="D46" t="s">
        <v>16</v>
      </c>
      <c r="E46">
        <v>10.877855800000001</v>
      </c>
      <c r="F46">
        <v>106.805685</v>
      </c>
      <c r="G46">
        <v>10.876632600000001</v>
      </c>
      <c r="H46">
        <v>106.80249139999999</v>
      </c>
      <c r="I46" t="s">
        <v>85</v>
      </c>
      <c r="J46" t="s">
        <v>18</v>
      </c>
      <c r="K46">
        <v>474</v>
      </c>
      <c r="L46">
        <f t="shared" si="0"/>
        <v>0.47399999999999998</v>
      </c>
      <c r="M46">
        <v>78</v>
      </c>
      <c r="N46">
        <v>1.3</v>
      </c>
      <c r="O46" s="3">
        <v>21.87692307692307</v>
      </c>
    </row>
    <row r="47" spans="1:15" x14ac:dyDescent="0.3">
      <c r="A47">
        <v>12</v>
      </c>
      <c r="B47">
        <v>2</v>
      </c>
      <c r="C47" t="s">
        <v>90</v>
      </c>
      <c r="D47" t="s">
        <v>16</v>
      </c>
      <c r="E47">
        <v>10.877855800000001</v>
      </c>
      <c r="F47">
        <v>106.805685</v>
      </c>
      <c r="G47">
        <v>10.8781307</v>
      </c>
      <c r="H47">
        <v>106.8027517</v>
      </c>
      <c r="I47" t="s">
        <v>85</v>
      </c>
      <c r="J47" t="s">
        <v>21</v>
      </c>
      <c r="K47">
        <v>561</v>
      </c>
      <c r="L47">
        <f t="shared" si="0"/>
        <v>0.56100000000000005</v>
      </c>
      <c r="M47" s="2">
        <v>104.22666047375756</v>
      </c>
      <c r="N47">
        <v>1.7371110078959593</v>
      </c>
      <c r="O47" s="3">
        <v>19.376999999999999</v>
      </c>
    </row>
    <row r="48" spans="1:15" x14ac:dyDescent="0.3">
      <c r="A48">
        <v>12</v>
      </c>
      <c r="B48">
        <v>5</v>
      </c>
      <c r="C48" t="s">
        <v>91</v>
      </c>
      <c r="D48" t="s">
        <v>16</v>
      </c>
      <c r="E48">
        <v>10.877855800000001</v>
      </c>
      <c r="F48">
        <v>106.805685</v>
      </c>
      <c r="G48">
        <v>10.875638</v>
      </c>
      <c r="H48">
        <v>106.804914</v>
      </c>
      <c r="I48" t="s">
        <v>85</v>
      </c>
      <c r="J48" t="s">
        <v>23</v>
      </c>
      <c r="K48">
        <v>640</v>
      </c>
      <c r="L48">
        <f t="shared" si="0"/>
        <v>0.64</v>
      </c>
      <c r="M48">
        <v>101</v>
      </c>
      <c r="N48">
        <v>1.6833333333333329</v>
      </c>
      <c r="O48" s="3">
        <v>22.811881188118811</v>
      </c>
    </row>
    <row r="49" spans="1:15" x14ac:dyDescent="0.3">
      <c r="A49">
        <v>12</v>
      </c>
      <c r="B49">
        <v>25</v>
      </c>
      <c r="C49" t="s">
        <v>92</v>
      </c>
      <c r="D49" t="s">
        <v>16</v>
      </c>
      <c r="E49">
        <v>10.877855800000001</v>
      </c>
      <c r="F49">
        <v>106.805685</v>
      </c>
      <c r="G49">
        <v>10.8736134</v>
      </c>
      <c r="H49">
        <v>106.8029052</v>
      </c>
      <c r="I49" t="s">
        <v>85</v>
      </c>
      <c r="J49" t="s">
        <v>25</v>
      </c>
      <c r="K49">
        <v>800</v>
      </c>
      <c r="L49">
        <f t="shared" si="0"/>
        <v>0.8</v>
      </c>
      <c r="M49" s="2">
        <v>137.41769252791298</v>
      </c>
      <c r="N49">
        <v>2.2902948754652162</v>
      </c>
      <c r="O49" s="3">
        <v>20.957999999999998</v>
      </c>
    </row>
    <row r="50" spans="1:15" x14ac:dyDescent="0.3">
      <c r="A50">
        <v>13</v>
      </c>
      <c r="B50">
        <v>14</v>
      </c>
      <c r="C50" t="s">
        <v>93</v>
      </c>
      <c r="D50" t="s">
        <v>20</v>
      </c>
      <c r="E50">
        <v>10.8801103</v>
      </c>
      <c r="F50">
        <v>106.80718299999999</v>
      </c>
      <c r="G50">
        <v>10.879921</v>
      </c>
      <c r="H50">
        <v>106.80728999999999</v>
      </c>
      <c r="I50" t="s">
        <v>35</v>
      </c>
      <c r="J50" t="s">
        <v>87</v>
      </c>
      <c r="K50">
        <v>590</v>
      </c>
      <c r="L50">
        <f t="shared" si="0"/>
        <v>0.59</v>
      </c>
      <c r="M50">
        <v>177</v>
      </c>
      <c r="N50">
        <v>2.95</v>
      </c>
      <c r="O50" s="3">
        <v>12</v>
      </c>
    </row>
    <row r="51" spans="1:15" x14ac:dyDescent="0.3">
      <c r="A51">
        <v>13</v>
      </c>
      <c r="B51">
        <v>12</v>
      </c>
      <c r="C51" t="s">
        <v>94</v>
      </c>
      <c r="D51" t="s">
        <v>16</v>
      </c>
      <c r="E51">
        <v>10.8801103</v>
      </c>
      <c r="F51">
        <v>106.80718299999999</v>
      </c>
      <c r="G51">
        <v>10.877855800000001</v>
      </c>
      <c r="H51">
        <v>106.805685</v>
      </c>
      <c r="I51" t="s">
        <v>35</v>
      </c>
      <c r="J51" t="s">
        <v>85</v>
      </c>
      <c r="K51">
        <v>298</v>
      </c>
      <c r="L51">
        <f t="shared" si="0"/>
        <v>0.29799999999999999</v>
      </c>
      <c r="M51">
        <v>69</v>
      </c>
      <c r="N51">
        <v>1.1499999999999999</v>
      </c>
      <c r="O51" s="3">
        <v>15.547826086956521</v>
      </c>
    </row>
    <row r="52" spans="1:15" x14ac:dyDescent="0.3">
      <c r="A52">
        <v>14</v>
      </c>
      <c r="B52">
        <v>13</v>
      </c>
      <c r="C52" t="s">
        <v>95</v>
      </c>
      <c r="D52" t="s">
        <v>20</v>
      </c>
      <c r="E52">
        <v>10.879921</v>
      </c>
      <c r="F52">
        <v>106.80728999999999</v>
      </c>
      <c r="G52">
        <v>10.8801103</v>
      </c>
      <c r="H52">
        <v>106.80718299999999</v>
      </c>
      <c r="I52" t="s">
        <v>87</v>
      </c>
      <c r="J52" t="s">
        <v>35</v>
      </c>
      <c r="K52">
        <v>711</v>
      </c>
      <c r="L52">
        <f t="shared" si="0"/>
        <v>0.71099999999999997</v>
      </c>
      <c r="M52">
        <v>1005</v>
      </c>
      <c r="N52">
        <v>16.75</v>
      </c>
      <c r="O52" s="3">
        <v>2.546865671641791</v>
      </c>
    </row>
    <row r="53" spans="1:15" x14ac:dyDescent="0.3">
      <c r="A53">
        <v>14</v>
      </c>
      <c r="B53">
        <v>15</v>
      </c>
      <c r="C53" t="s">
        <v>96</v>
      </c>
      <c r="D53" t="s">
        <v>16</v>
      </c>
      <c r="E53">
        <v>10.879921</v>
      </c>
      <c r="F53">
        <v>106.80728999999999</v>
      </c>
      <c r="G53">
        <v>10.880791</v>
      </c>
      <c r="H53">
        <v>106.81063399999999</v>
      </c>
      <c r="I53" t="s">
        <v>87</v>
      </c>
      <c r="J53" t="s">
        <v>39</v>
      </c>
      <c r="K53">
        <v>682</v>
      </c>
      <c r="L53">
        <f t="shared" si="0"/>
        <v>0.68200000000000005</v>
      </c>
      <c r="M53">
        <v>111</v>
      </c>
      <c r="N53">
        <v>1.85</v>
      </c>
      <c r="O53" s="3">
        <v>22.118918918918919</v>
      </c>
    </row>
    <row r="54" spans="1:15" x14ac:dyDescent="0.3">
      <c r="A54">
        <v>14</v>
      </c>
      <c r="B54">
        <v>41</v>
      </c>
      <c r="C54" t="s">
        <v>97</v>
      </c>
      <c r="D54" t="s">
        <v>16</v>
      </c>
      <c r="E54">
        <v>10.879921</v>
      </c>
      <c r="F54">
        <v>106.80728999999999</v>
      </c>
      <c r="G54">
        <v>10.887394199999999</v>
      </c>
      <c r="H54">
        <v>106.8047072</v>
      </c>
      <c r="I54" t="s">
        <v>87</v>
      </c>
      <c r="J54" t="s">
        <v>37</v>
      </c>
      <c r="K54">
        <v>1221</v>
      </c>
      <c r="L54">
        <f t="shared" si="0"/>
        <v>1.2210000000000001</v>
      </c>
      <c r="M54">
        <v>173</v>
      </c>
      <c r="N54">
        <v>2.8833333333333329</v>
      </c>
      <c r="O54" s="3">
        <v>25.40809248554914</v>
      </c>
    </row>
    <row r="55" spans="1:15" x14ac:dyDescent="0.3">
      <c r="A55">
        <v>14</v>
      </c>
      <c r="B55">
        <v>1</v>
      </c>
      <c r="C55" t="s">
        <v>98</v>
      </c>
      <c r="D55" t="s">
        <v>16</v>
      </c>
      <c r="E55">
        <v>10.879921</v>
      </c>
      <c r="F55">
        <v>106.80728999999999</v>
      </c>
      <c r="G55">
        <v>10.8771068</v>
      </c>
      <c r="H55">
        <v>106.8028618</v>
      </c>
      <c r="I55" t="s">
        <v>87</v>
      </c>
      <c r="J55" t="s">
        <v>17</v>
      </c>
      <c r="K55">
        <v>1687</v>
      </c>
      <c r="L55">
        <f t="shared" si="0"/>
        <v>1.6870000000000001</v>
      </c>
      <c r="M55" s="2">
        <v>335.62862669245652</v>
      </c>
      <c r="N55">
        <v>5.5938104448742756</v>
      </c>
      <c r="O55" s="3">
        <v>18.094999999999999</v>
      </c>
    </row>
    <row r="56" spans="1:15" x14ac:dyDescent="0.3">
      <c r="A56">
        <v>14</v>
      </c>
      <c r="B56">
        <v>35</v>
      </c>
      <c r="C56" t="s">
        <v>99</v>
      </c>
      <c r="D56" t="s">
        <v>16</v>
      </c>
      <c r="E56">
        <v>10.879921</v>
      </c>
      <c r="F56">
        <v>106.80728999999999</v>
      </c>
      <c r="G56">
        <v>10.8809737</v>
      </c>
      <c r="H56">
        <v>106.8142454</v>
      </c>
      <c r="I56" t="s">
        <v>87</v>
      </c>
      <c r="J56" t="s">
        <v>41</v>
      </c>
      <c r="K56">
        <v>1496</v>
      </c>
      <c r="L56">
        <f t="shared" si="0"/>
        <v>1.496</v>
      </c>
      <c r="M56" s="2">
        <v>140.82208973956699</v>
      </c>
      <c r="N56">
        <v>2.3470348289927832</v>
      </c>
      <c r="O56" s="3">
        <v>38.244</v>
      </c>
    </row>
    <row r="57" spans="1:15" x14ac:dyDescent="0.3">
      <c r="A57">
        <v>14</v>
      </c>
      <c r="B57">
        <v>42</v>
      </c>
      <c r="C57" t="s">
        <v>100</v>
      </c>
      <c r="D57" t="s">
        <v>16</v>
      </c>
      <c r="E57">
        <v>10.879921</v>
      </c>
      <c r="F57">
        <v>106.80728999999999</v>
      </c>
      <c r="G57">
        <v>10.883092</v>
      </c>
      <c r="H57">
        <v>106.8</v>
      </c>
      <c r="I57" t="s">
        <v>87</v>
      </c>
      <c r="J57" t="s">
        <v>31</v>
      </c>
      <c r="K57">
        <v>1597</v>
      </c>
      <c r="L57">
        <f t="shared" si="0"/>
        <v>1.597</v>
      </c>
      <c r="M57">
        <v>211</v>
      </c>
      <c r="N57">
        <v>3.5166666666666671</v>
      </c>
      <c r="O57" s="3">
        <v>27.247393364928911</v>
      </c>
    </row>
    <row r="58" spans="1:15" x14ac:dyDescent="0.3">
      <c r="A58">
        <v>14</v>
      </c>
      <c r="B58">
        <v>43</v>
      </c>
      <c r="C58" t="s">
        <v>101</v>
      </c>
      <c r="D58" t="s">
        <v>16</v>
      </c>
      <c r="E58">
        <v>10.879921</v>
      </c>
      <c r="F58">
        <v>106.80728999999999</v>
      </c>
      <c r="G58">
        <v>10.885055700000001</v>
      </c>
      <c r="H58">
        <v>106.80008220000001</v>
      </c>
      <c r="I58" t="s">
        <v>87</v>
      </c>
      <c r="J58" t="s">
        <v>33</v>
      </c>
      <c r="K58">
        <v>1731</v>
      </c>
      <c r="L58">
        <f t="shared" si="0"/>
        <v>1.7310000000000001</v>
      </c>
      <c r="M58">
        <v>233</v>
      </c>
      <c r="N58">
        <v>3.8833333333333329</v>
      </c>
      <c r="O58" s="3">
        <v>26.7450643776824</v>
      </c>
    </row>
    <row r="59" spans="1:15" x14ac:dyDescent="0.3">
      <c r="A59">
        <v>14</v>
      </c>
      <c r="B59">
        <v>79</v>
      </c>
      <c r="C59" t="s">
        <v>102</v>
      </c>
      <c r="D59" t="s">
        <v>16</v>
      </c>
      <c r="E59">
        <v>10.879921</v>
      </c>
      <c r="F59">
        <v>106.80728999999999</v>
      </c>
      <c r="G59">
        <v>10.8892959</v>
      </c>
      <c r="H59">
        <v>106.8055626</v>
      </c>
      <c r="I59" t="s">
        <v>87</v>
      </c>
      <c r="J59" t="s">
        <v>103</v>
      </c>
      <c r="K59">
        <v>1984</v>
      </c>
      <c r="L59">
        <f t="shared" si="0"/>
        <v>1.984</v>
      </c>
      <c r="M59">
        <v>277</v>
      </c>
      <c r="N59">
        <v>4.6166666666666663</v>
      </c>
      <c r="O59" s="3">
        <v>25.784837545126351</v>
      </c>
    </row>
    <row r="60" spans="1:15" x14ac:dyDescent="0.3">
      <c r="A60">
        <v>14</v>
      </c>
      <c r="B60">
        <v>40</v>
      </c>
      <c r="C60" t="s">
        <v>104</v>
      </c>
      <c r="D60" t="s">
        <v>16</v>
      </c>
      <c r="E60">
        <v>10.879921</v>
      </c>
      <c r="F60">
        <v>106.80728999999999</v>
      </c>
      <c r="G60">
        <v>10.8876326</v>
      </c>
      <c r="H60">
        <v>106.8046342</v>
      </c>
      <c r="I60" t="s">
        <v>87</v>
      </c>
      <c r="J60" t="s">
        <v>105</v>
      </c>
      <c r="K60">
        <v>2140</v>
      </c>
      <c r="L60">
        <f t="shared" si="0"/>
        <v>2.14</v>
      </c>
      <c r="M60">
        <v>329</v>
      </c>
      <c r="N60">
        <v>5.4833333333333334</v>
      </c>
      <c r="O60" s="3">
        <v>23.416413373860181</v>
      </c>
    </row>
    <row r="61" spans="1:15" x14ac:dyDescent="0.3">
      <c r="A61">
        <v>15</v>
      </c>
      <c r="B61">
        <v>10</v>
      </c>
      <c r="C61" t="s">
        <v>106</v>
      </c>
      <c r="D61" t="s">
        <v>16</v>
      </c>
      <c r="E61">
        <v>10.880791</v>
      </c>
      <c r="F61">
        <v>106.81063399999999</v>
      </c>
      <c r="G61">
        <v>10.876201399999999</v>
      </c>
      <c r="H61">
        <v>106.807517</v>
      </c>
      <c r="I61" t="s">
        <v>39</v>
      </c>
      <c r="J61" t="s">
        <v>75</v>
      </c>
      <c r="K61">
        <v>611</v>
      </c>
      <c r="L61">
        <f t="shared" si="0"/>
        <v>0.61099999999999999</v>
      </c>
      <c r="M61">
        <v>68</v>
      </c>
      <c r="N61">
        <v>1.1333333333333331</v>
      </c>
      <c r="O61" s="3">
        <v>32.347058823529409</v>
      </c>
    </row>
    <row r="62" spans="1:15" x14ac:dyDescent="0.3">
      <c r="A62">
        <v>15</v>
      </c>
      <c r="B62">
        <v>33</v>
      </c>
      <c r="C62" t="s">
        <v>107</v>
      </c>
      <c r="D62" t="s">
        <v>16</v>
      </c>
      <c r="E62">
        <v>10.880791</v>
      </c>
      <c r="F62">
        <v>106.81063399999999</v>
      </c>
      <c r="G62">
        <v>10.8713888</v>
      </c>
      <c r="H62">
        <v>106.80665980000001</v>
      </c>
      <c r="I62" t="s">
        <v>39</v>
      </c>
      <c r="J62" t="s">
        <v>68</v>
      </c>
      <c r="K62">
        <v>1260</v>
      </c>
      <c r="L62">
        <f t="shared" si="0"/>
        <v>1.26</v>
      </c>
      <c r="M62">
        <v>266</v>
      </c>
      <c r="N62">
        <v>4.4333333333333336</v>
      </c>
      <c r="O62" s="3">
        <v>17.05263157894737</v>
      </c>
    </row>
    <row r="63" spans="1:15" x14ac:dyDescent="0.3">
      <c r="A63">
        <v>16</v>
      </c>
      <c r="B63">
        <v>13</v>
      </c>
      <c r="C63" t="s">
        <v>108</v>
      </c>
      <c r="D63" t="s">
        <v>59</v>
      </c>
      <c r="E63">
        <v>10.880699999999999</v>
      </c>
      <c r="F63">
        <v>106.81077999999999</v>
      </c>
      <c r="G63">
        <v>10.8801103</v>
      </c>
      <c r="H63">
        <v>106.80718299999999</v>
      </c>
      <c r="I63" t="s">
        <v>77</v>
      </c>
      <c r="J63" t="s">
        <v>35</v>
      </c>
      <c r="K63">
        <v>704</v>
      </c>
      <c r="L63">
        <f t="shared" si="0"/>
        <v>0.70399999999999996</v>
      </c>
      <c r="M63">
        <v>103</v>
      </c>
      <c r="N63">
        <v>1.716666666666667</v>
      </c>
      <c r="O63" s="3">
        <v>24.605825242718449</v>
      </c>
    </row>
    <row r="64" spans="1:15" x14ac:dyDescent="0.3">
      <c r="A64">
        <v>16</v>
      </c>
      <c r="B64">
        <v>35</v>
      </c>
      <c r="C64" t="s">
        <v>109</v>
      </c>
      <c r="D64" t="s">
        <v>16</v>
      </c>
      <c r="E64">
        <v>10.880699999999999</v>
      </c>
      <c r="F64">
        <v>106.81077999999999</v>
      </c>
      <c r="G64">
        <v>10.8809737</v>
      </c>
      <c r="H64">
        <v>106.8142454</v>
      </c>
      <c r="I64" t="s">
        <v>77</v>
      </c>
      <c r="J64" t="s">
        <v>41</v>
      </c>
      <c r="K64">
        <v>944</v>
      </c>
      <c r="L64">
        <f t="shared" si="0"/>
        <v>0.94399999999999995</v>
      </c>
      <c r="M64" s="2">
        <v>188.7580537658298</v>
      </c>
      <c r="N64">
        <v>3.1459675627638299</v>
      </c>
      <c r="O64" s="3">
        <v>18.004000000000001</v>
      </c>
    </row>
    <row r="65" spans="1:15" x14ac:dyDescent="0.3">
      <c r="A65">
        <v>16</v>
      </c>
      <c r="B65">
        <v>41</v>
      </c>
      <c r="C65" t="s">
        <v>110</v>
      </c>
      <c r="D65" t="s">
        <v>16</v>
      </c>
      <c r="E65">
        <v>10.880699999999999</v>
      </c>
      <c r="F65">
        <v>106.81077999999999</v>
      </c>
      <c r="G65">
        <v>10.887394199999999</v>
      </c>
      <c r="H65">
        <v>106.8047072</v>
      </c>
      <c r="I65" t="s">
        <v>77</v>
      </c>
      <c r="J65" t="s">
        <v>37</v>
      </c>
      <c r="K65">
        <v>1215</v>
      </c>
      <c r="L65">
        <f t="shared" si="0"/>
        <v>1.2150000000000001</v>
      </c>
      <c r="M65">
        <v>171</v>
      </c>
      <c r="N65">
        <v>2.85</v>
      </c>
      <c r="O65" s="3">
        <v>25.578947368421051</v>
      </c>
    </row>
    <row r="66" spans="1:15" x14ac:dyDescent="0.3">
      <c r="A66">
        <v>16</v>
      </c>
      <c r="B66">
        <v>79</v>
      </c>
      <c r="C66" t="s">
        <v>111</v>
      </c>
      <c r="D66" t="s">
        <v>16</v>
      </c>
      <c r="E66">
        <v>10.880699999999999</v>
      </c>
      <c r="F66">
        <v>106.81077999999999</v>
      </c>
      <c r="G66">
        <v>10.8892959</v>
      </c>
      <c r="H66">
        <v>106.8055626</v>
      </c>
      <c r="I66" t="s">
        <v>77</v>
      </c>
      <c r="J66" t="s">
        <v>103</v>
      </c>
      <c r="K66">
        <v>1434</v>
      </c>
      <c r="L66">
        <f t="shared" si="0"/>
        <v>1.4339999999999999</v>
      </c>
      <c r="M66">
        <v>179</v>
      </c>
      <c r="N66">
        <v>2.9833333333333329</v>
      </c>
      <c r="O66" s="3">
        <v>28.840223463687149</v>
      </c>
    </row>
    <row r="67" spans="1:15" x14ac:dyDescent="0.3">
      <c r="A67">
        <v>16</v>
      </c>
      <c r="B67">
        <v>40</v>
      </c>
      <c r="C67" t="s">
        <v>112</v>
      </c>
      <c r="D67" t="s">
        <v>16</v>
      </c>
      <c r="E67">
        <v>10.880699999999999</v>
      </c>
      <c r="F67">
        <v>106.81077999999999</v>
      </c>
      <c r="G67">
        <v>10.8876326</v>
      </c>
      <c r="H67">
        <v>106.8046342</v>
      </c>
      <c r="I67" t="s">
        <v>77</v>
      </c>
      <c r="J67" t="s">
        <v>105</v>
      </c>
      <c r="K67">
        <v>1591</v>
      </c>
      <c r="L67">
        <f t="shared" ref="L67:L126" si="1">K67/1000</f>
        <v>1.591</v>
      </c>
      <c r="M67">
        <v>230</v>
      </c>
      <c r="N67">
        <v>3.833333333333333</v>
      </c>
      <c r="O67" s="3">
        <v>24.90260869565218</v>
      </c>
    </row>
    <row r="68" spans="1:15" x14ac:dyDescent="0.3">
      <c r="A68">
        <v>16</v>
      </c>
      <c r="B68">
        <v>42</v>
      </c>
      <c r="C68" t="s">
        <v>113</v>
      </c>
      <c r="D68" t="s">
        <v>16</v>
      </c>
      <c r="E68">
        <v>10.880699999999999</v>
      </c>
      <c r="F68">
        <v>106.81077999999999</v>
      </c>
      <c r="G68">
        <v>10.883092</v>
      </c>
      <c r="H68">
        <v>106.8</v>
      </c>
      <c r="I68" t="s">
        <v>77</v>
      </c>
      <c r="J68" t="s">
        <v>31</v>
      </c>
      <c r="K68">
        <v>1590</v>
      </c>
      <c r="L68">
        <f t="shared" si="1"/>
        <v>1.59</v>
      </c>
      <c r="M68">
        <v>209</v>
      </c>
      <c r="N68">
        <v>3.4833333333333329</v>
      </c>
      <c r="O68" s="3">
        <v>27.387559808612441</v>
      </c>
    </row>
    <row r="69" spans="1:15" x14ac:dyDescent="0.3">
      <c r="A69">
        <v>16</v>
      </c>
      <c r="B69">
        <v>1</v>
      </c>
      <c r="C69" t="s">
        <v>114</v>
      </c>
      <c r="D69" t="s">
        <v>16</v>
      </c>
      <c r="E69">
        <v>10.880699999999999</v>
      </c>
      <c r="F69">
        <v>106.81077999999999</v>
      </c>
      <c r="G69">
        <v>10.8771068</v>
      </c>
      <c r="H69">
        <v>106.8028618</v>
      </c>
      <c r="I69" t="s">
        <v>77</v>
      </c>
      <c r="J69" t="s">
        <v>17</v>
      </c>
      <c r="K69">
        <v>1665</v>
      </c>
      <c r="L69">
        <f t="shared" si="1"/>
        <v>1.665</v>
      </c>
      <c r="M69" s="2">
        <v>178.72797209052689</v>
      </c>
      <c r="N69">
        <v>2.978799534842115</v>
      </c>
      <c r="O69" s="3">
        <v>33.536999999999999</v>
      </c>
    </row>
    <row r="70" spans="1:15" x14ac:dyDescent="0.3">
      <c r="A70">
        <v>16</v>
      </c>
      <c r="B70">
        <v>43</v>
      </c>
      <c r="C70" t="s">
        <v>115</v>
      </c>
      <c r="D70" t="s">
        <v>16</v>
      </c>
      <c r="E70">
        <v>10.880699999999999</v>
      </c>
      <c r="F70">
        <v>106.81077999999999</v>
      </c>
      <c r="G70">
        <v>10.885055700000001</v>
      </c>
      <c r="H70">
        <v>106.80008220000001</v>
      </c>
      <c r="I70" t="s">
        <v>77</v>
      </c>
      <c r="J70" t="s">
        <v>33</v>
      </c>
      <c r="K70">
        <v>1725</v>
      </c>
      <c r="L70">
        <f t="shared" si="1"/>
        <v>1.7250000000000001</v>
      </c>
      <c r="M70">
        <v>230</v>
      </c>
      <c r="N70">
        <v>3.833333333333333</v>
      </c>
      <c r="O70" s="3">
        <v>27</v>
      </c>
    </row>
    <row r="71" spans="1:15" x14ac:dyDescent="0.3">
      <c r="A71">
        <v>17</v>
      </c>
      <c r="B71">
        <v>11</v>
      </c>
      <c r="C71" t="s">
        <v>116</v>
      </c>
      <c r="D71" t="s">
        <v>16</v>
      </c>
      <c r="E71">
        <v>10.876530799999999</v>
      </c>
      <c r="F71">
        <v>106.805115</v>
      </c>
      <c r="G71">
        <v>10.877729</v>
      </c>
      <c r="H71">
        <v>106.805858</v>
      </c>
      <c r="I71" t="s">
        <v>60</v>
      </c>
      <c r="J71" t="s">
        <v>84</v>
      </c>
      <c r="K71">
        <v>165</v>
      </c>
      <c r="L71">
        <f t="shared" si="1"/>
        <v>0.16500000000000001</v>
      </c>
      <c r="M71">
        <v>33</v>
      </c>
      <c r="N71">
        <v>0.55000000000000004</v>
      </c>
      <c r="O71" s="3">
        <v>18</v>
      </c>
    </row>
    <row r="72" spans="1:15" x14ac:dyDescent="0.3">
      <c r="A72">
        <v>18</v>
      </c>
      <c r="B72">
        <v>65</v>
      </c>
      <c r="C72" t="s">
        <v>117</v>
      </c>
      <c r="D72" t="s">
        <v>16</v>
      </c>
      <c r="E72">
        <v>10.874378500000001</v>
      </c>
      <c r="F72">
        <v>106.7999792</v>
      </c>
      <c r="G72">
        <v>10.8809022</v>
      </c>
      <c r="H72">
        <v>106.7955379</v>
      </c>
      <c r="I72" t="s">
        <v>45</v>
      </c>
      <c r="J72" t="s">
        <v>48</v>
      </c>
      <c r="K72">
        <v>1155</v>
      </c>
      <c r="L72">
        <f t="shared" si="1"/>
        <v>1.155</v>
      </c>
      <c r="M72">
        <v>150</v>
      </c>
      <c r="N72">
        <v>2.5</v>
      </c>
      <c r="O72" s="3">
        <v>27.72</v>
      </c>
    </row>
    <row r="73" spans="1:15" x14ac:dyDescent="0.3">
      <c r="A73">
        <v>18</v>
      </c>
      <c r="B73">
        <v>4</v>
      </c>
      <c r="C73" t="s">
        <v>118</v>
      </c>
      <c r="D73" t="s">
        <v>59</v>
      </c>
      <c r="E73">
        <v>10.874378500000001</v>
      </c>
      <c r="F73">
        <v>106.7999792</v>
      </c>
      <c r="G73">
        <v>10.876407499999999</v>
      </c>
      <c r="H73">
        <v>106.8024855</v>
      </c>
      <c r="I73" t="s">
        <v>45</v>
      </c>
      <c r="J73" t="s">
        <v>43</v>
      </c>
      <c r="K73">
        <v>472</v>
      </c>
      <c r="L73">
        <f t="shared" si="1"/>
        <v>0.47199999999999998</v>
      </c>
      <c r="M73">
        <v>77</v>
      </c>
      <c r="N73">
        <v>1.283333333333333</v>
      </c>
      <c r="O73" s="3">
        <v>22.06753246753247</v>
      </c>
    </row>
    <row r="74" spans="1:15" x14ac:dyDescent="0.3">
      <c r="A74">
        <v>18</v>
      </c>
      <c r="B74">
        <v>24</v>
      </c>
      <c r="C74" t="s">
        <v>119</v>
      </c>
      <c r="D74" t="s">
        <v>16</v>
      </c>
      <c r="E74">
        <v>10.874378500000001</v>
      </c>
      <c r="F74">
        <v>106.7999792</v>
      </c>
      <c r="G74">
        <v>10.8734223</v>
      </c>
      <c r="H74">
        <v>106.80227499999999</v>
      </c>
      <c r="I74" t="s">
        <v>45</v>
      </c>
      <c r="J74" t="s">
        <v>27</v>
      </c>
      <c r="K74">
        <v>268</v>
      </c>
      <c r="L74">
        <f t="shared" si="1"/>
        <v>0.26800000000000002</v>
      </c>
      <c r="M74">
        <v>37</v>
      </c>
      <c r="N74">
        <v>0.6166666666666667</v>
      </c>
      <c r="O74" s="3">
        <v>26.075675675675679</v>
      </c>
    </row>
    <row r="75" spans="1:15" x14ac:dyDescent="0.3">
      <c r="A75">
        <v>18</v>
      </c>
      <c r="B75">
        <v>20</v>
      </c>
      <c r="C75" t="s">
        <v>120</v>
      </c>
      <c r="D75" t="s">
        <v>16</v>
      </c>
      <c r="E75">
        <v>10.874378500000001</v>
      </c>
      <c r="F75">
        <v>106.7999792</v>
      </c>
      <c r="G75">
        <v>10.871685299999999</v>
      </c>
      <c r="H75">
        <v>106.7981465</v>
      </c>
      <c r="I75" t="s">
        <v>45</v>
      </c>
      <c r="J75" t="s">
        <v>121</v>
      </c>
      <c r="K75">
        <v>650</v>
      </c>
      <c r="L75">
        <f t="shared" si="1"/>
        <v>0.65</v>
      </c>
      <c r="M75">
        <v>123</v>
      </c>
      <c r="N75">
        <v>2.0499999999999998</v>
      </c>
      <c r="O75" s="3">
        <v>19.024390243902442</v>
      </c>
    </row>
    <row r="76" spans="1:15" x14ac:dyDescent="0.3">
      <c r="A76">
        <v>19</v>
      </c>
      <c r="B76">
        <v>4</v>
      </c>
      <c r="C76" t="s">
        <v>122</v>
      </c>
      <c r="D76" t="s">
        <v>16</v>
      </c>
      <c r="E76">
        <v>10.874542999999999</v>
      </c>
      <c r="F76">
        <v>106.8001747</v>
      </c>
      <c r="G76">
        <v>10.876407499999999</v>
      </c>
      <c r="H76">
        <v>106.8024855</v>
      </c>
      <c r="I76" t="s">
        <v>29</v>
      </c>
      <c r="J76" t="s">
        <v>43</v>
      </c>
      <c r="K76">
        <v>470</v>
      </c>
      <c r="L76">
        <f t="shared" si="1"/>
        <v>0.47</v>
      </c>
      <c r="M76">
        <v>77</v>
      </c>
      <c r="N76">
        <v>1.283333333333333</v>
      </c>
      <c r="O76" s="3">
        <v>21.97402597402597</v>
      </c>
    </row>
    <row r="77" spans="1:15" x14ac:dyDescent="0.3">
      <c r="A77">
        <v>19</v>
      </c>
      <c r="B77">
        <v>65</v>
      </c>
      <c r="C77" t="s">
        <v>123</v>
      </c>
      <c r="D77" t="s">
        <v>16</v>
      </c>
      <c r="E77">
        <v>10.874542999999999</v>
      </c>
      <c r="F77">
        <v>106.8001747</v>
      </c>
      <c r="G77">
        <v>10.8809022</v>
      </c>
      <c r="H77">
        <v>106.7955379</v>
      </c>
      <c r="I77" t="s">
        <v>29</v>
      </c>
      <c r="J77" t="s">
        <v>48</v>
      </c>
      <c r="K77">
        <v>1153</v>
      </c>
      <c r="L77">
        <f t="shared" si="1"/>
        <v>1.153</v>
      </c>
      <c r="M77">
        <v>149</v>
      </c>
      <c r="N77">
        <v>2.4833333333333329</v>
      </c>
      <c r="O77" s="3">
        <v>27.857718120805369</v>
      </c>
    </row>
    <row r="78" spans="1:15" x14ac:dyDescent="0.3">
      <c r="A78">
        <v>20</v>
      </c>
      <c r="B78">
        <v>21</v>
      </c>
      <c r="C78" t="s">
        <v>124</v>
      </c>
      <c r="D78" t="s">
        <v>20</v>
      </c>
      <c r="E78">
        <v>10.871685299999999</v>
      </c>
      <c r="F78">
        <v>106.7981465</v>
      </c>
      <c r="G78">
        <v>10.8710814</v>
      </c>
      <c r="H78">
        <v>106.797648</v>
      </c>
      <c r="I78" t="s">
        <v>121</v>
      </c>
      <c r="J78" t="s">
        <v>125</v>
      </c>
      <c r="K78">
        <v>84</v>
      </c>
      <c r="L78">
        <f t="shared" si="1"/>
        <v>8.4000000000000005E-2</v>
      </c>
      <c r="M78">
        <v>13</v>
      </c>
      <c r="N78">
        <v>0.2166666666666667</v>
      </c>
      <c r="O78" s="3">
        <v>23.261538461538461</v>
      </c>
    </row>
    <row r="79" spans="1:15" x14ac:dyDescent="0.3">
      <c r="A79">
        <v>20</v>
      </c>
      <c r="B79">
        <v>24</v>
      </c>
      <c r="C79" t="s">
        <v>126</v>
      </c>
      <c r="D79" t="s">
        <v>16</v>
      </c>
      <c r="E79">
        <v>10.871685299999999</v>
      </c>
      <c r="F79">
        <v>106.7981465</v>
      </c>
      <c r="G79">
        <v>10.8734223</v>
      </c>
      <c r="H79">
        <v>106.80227499999999</v>
      </c>
      <c r="I79" t="s">
        <v>121</v>
      </c>
      <c r="J79" t="s">
        <v>27</v>
      </c>
      <c r="K79">
        <v>537</v>
      </c>
      <c r="L79">
        <f t="shared" si="1"/>
        <v>0.53700000000000003</v>
      </c>
      <c r="M79">
        <v>109</v>
      </c>
      <c r="N79">
        <v>1.8166666666666671</v>
      </c>
      <c r="O79" s="3">
        <v>17.735779816513759</v>
      </c>
    </row>
    <row r="80" spans="1:15" x14ac:dyDescent="0.3">
      <c r="A80">
        <v>20</v>
      </c>
      <c r="B80">
        <v>19</v>
      </c>
      <c r="C80" t="s">
        <v>127</v>
      </c>
      <c r="D80" t="s">
        <v>16</v>
      </c>
      <c r="E80">
        <v>10.871685299999999</v>
      </c>
      <c r="F80">
        <v>106.7981465</v>
      </c>
      <c r="G80">
        <v>10.874542999999999</v>
      </c>
      <c r="H80">
        <v>106.8001747</v>
      </c>
      <c r="I80" t="s">
        <v>121</v>
      </c>
      <c r="J80" t="s">
        <v>29</v>
      </c>
      <c r="K80">
        <v>648</v>
      </c>
      <c r="L80">
        <f t="shared" si="1"/>
        <v>0.64800000000000002</v>
      </c>
      <c r="M80">
        <v>109</v>
      </c>
      <c r="N80">
        <v>1.8166666666666671</v>
      </c>
      <c r="O80" s="3">
        <v>21.401834862385321</v>
      </c>
    </row>
    <row r="81" spans="1:15" x14ac:dyDescent="0.3">
      <c r="A81">
        <v>20</v>
      </c>
      <c r="B81">
        <v>4</v>
      </c>
      <c r="C81" t="s">
        <v>128</v>
      </c>
      <c r="D81" t="s">
        <v>16</v>
      </c>
      <c r="E81">
        <v>10.871685299999999</v>
      </c>
      <c r="F81">
        <v>106.7981465</v>
      </c>
      <c r="G81">
        <v>10.876407499999999</v>
      </c>
      <c r="H81">
        <v>106.8024855</v>
      </c>
      <c r="I81" t="s">
        <v>121</v>
      </c>
      <c r="J81" t="s">
        <v>43</v>
      </c>
      <c r="K81">
        <v>906</v>
      </c>
      <c r="L81">
        <f t="shared" si="1"/>
        <v>0.90600000000000003</v>
      </c>
      <c r="M81">
        <v>153</v>
      </c>
      <c r="N81">
        <v>2.5499999999999998</v>
      </c>
      <c r="O81" s="3">
        <v>21.317647058823528</v>
      </c>
    </row>
    <row r="82" spans="1:15" x14ac:dyDescent="0.3">
      <c r="A82">
        <v>21</v>
      </c>
      <c r="B82">
        <v>22</v>
      </c>
      <c r="C82" t="s">
        <v>129</v>
      </c>
      <c r="D82" t="s">
        <v>16</v>
      </c>
      <c r="E82">
        <v>10.8710814</v>
      </c>
      <c r="F82">
        <v>106.797648</v>
      </c>
      <c r="G82">
        <v>10.8705742</v>
      </c>
      <c r="H82">
        <v>106.795856</v>
      </c>
      <c r="I82" t="s">
        <v>125</v>
      </c>
      <c r="J82" t="s">
        <v>130</v>
      </c>
      <c r="K82">
        <v>222</v>
      </c>
      <c r="L82">
        <f t="shared" si="1"/>
        <v>0.222</v>
      </c>
      <c r="M82">
        <v>35</v>
      </c>
      <c r="N82">
        <v>0.58333333333333337</v>
      </c>
      <c r="O82" s="3">
        <v>22.834285714285709</v>
      </c>
    </row>
    <row r="83" spans="1:15" x14ac:dyDescent="0.3">
      <c r="A83">
        <v>21</v>
      </c>
      <c r="B83">
        <v>20</v>
      </c>
      <c r="C83" t="s">
        <v>131</v>
      </c>
      <c r="D83" t="s">
        <v>20</v>
      </c>
      <c r="E83">
        <v>10.8710814</v>
      </c>
      <c r="F83">
        <v>106.797648</v>
      </c>
      <c r="G83">
        <v>10.871685299999999</v>
      </c>
      <c r="H83">
        <v>106.7981465</v>
      </c>
      <c r="I83" t="s">
        <v>125</v>
      </c>
      <c r="J83" t="s">
        <v>121</v>
      </c>
      <c r="K83">
        <v>368</v>
      </c>
      <c r="L83">
        <f t="shared" si="1"/>
        <v>0.36799999999999999</v>
      </c>
      <c r="M83">
        <v>88</v>
      </c>
      <c r="N83">
        <v>1.466666666666667</v>
      </c>
      <c r="O83" s="3">
        <v>15.054545454545449</v>
      </c>
    </row>
    <row r="84" spans="1:15" x14ac:dyDescent="0.3">
      <c r="A84">
        <v>22</v>
      </c>
      <c r="B84">
        <v>28</v>
      </c>
      <c r="C84" t="s">
        <v>133</v>
      </c>
      <c r="D84" t="s">
        <v>16</v>
      </c>
      <c r="E84">
        <v>10.8705742</v>
      </c>
      <c r="F84">
        <v>106.795856</v>
      </c>
      <c r="G84">
        <v>10.866787800000001</v>
      </c>
      <c r="H84">
        <v>106.7945856</v>
      </c>
      <c r="I84" t="s">
        <v>130</v>
      </c>
      <c r="J84" t="s">
        <v>134</v>
      </c>
      <c r="K84">
        <v>484</v>
      </c>
      <c r="L84">
        <f t="shared" si="1"/>
        <v>0.48399999999999999</v>
      </c>
      <c r="M84" s="2">
        <v>55.914254540786857</v>
      </c>
      <c r="N84">
        <v>0.93190424234644764</v>
      </c>
      <c r="O84" s="3">
        <v>31.161999999999999</v>
      </c>
    </row>
    <row r="85" spans="1:15" x14ac:dyDescent="0.3">
      <c r="A85">
        <v>23</v>
      </c>
      <c r="B85">
        <v>20</v>
      </c>
      <c r="C85" t="s">
        <v>135</v>
      </c>
      <c r="D85" t="s">
        <v>59</v>
      </c>
      <c r="E85">
        <v>10.870383</v>
      </c>
      <c r="F85">
        <v>106.79585830000001</v>
      </c>
      <c r="G85">
        <v>10.871685299999999</v>
      </c>
      <c r="H85">
        <v>106.7981465</v>
      </c>
      <c r="I85" t="s">
        <v>132</v>
      </c>
      <c r="J85" t="s">
        <v>121</v>
      </c>
      <c r="K85">
        <v>356</v>
      </c>
      <c r="L85">
        <f t="shared" si="1"/>
        <v>0.35599999999999998</v>
      </c>
      <c r="M85" s="2">
        <v>34.628478789516343</v>
      </c>
      <c r="N85">
        <v>0.57714131315860573</v>
      </c>
      <c r="O85" s="3">
        <v>37.01</v>
      </c>
    </row>
    <row r="86" spans="1:15" x14ac:dyDescent="0.3">
      <c r="A86">
        <v>24</v>
      </c>
      <c r="B86">
        <v>19</v>
      </c>
      <c r="C86" t="s">
        <v>136</v>
      </c>
      <c r="D86" t="s">
        <v>16</v>
      </c>
      <c r="E86">
        <v>10.8734223</v>
      </c>
      <c r="F86">
        <v>106.80227499999999</v>
      </c>
      <c r="G86">
        <v>10.874542999999999</v>
      </c>
      <c r="H86">
        <v>106.8001747</v>
      </c>
      <c r="I86" t="s">
        <v>27</v>
      </c>
      <c r="J86" t="s">
        <v>29</v>
      </c>
      <c r="K86">
        <v>270</v>
      </c>
      <c r="L86">
        <f t="shared" si="1"/>
        <v>0.27</v>
      </c>
      <c r="M86">
        <v>40</v>
      </c>
      <c r="N86">
        <v>0.66666666666666663</v>
      </c>
      <c r="O86" s="3">
        <v>24.3</v>
      </c>
    </row>
    <row r="87" spans="1:15" x14ac:dyDescent="0.3">
      <c r="A87">
        <v>24</v>
      </c>
      <c r="B87">
        <v>6</v>
      </c>
      <c r="C87" t="s">
        <v>137</v>
      </c>
      <c r="D87" t="s">
        <v>59</v>
      </c>
      <c r="E87">
        <v>10.8734223</v>
      </c>
      <c r="F87">
        <v>106.80227499999999</v>
      </c>
      <c r="G87">
        <v>10.875778</v>
      </c>
      <c r="H87">
        <v>106.80510080000001</v>
      </c>
      <c r="I87" t="s">
        <v>27</v>
      </c>
      <c r="J87" t="s">
        <v>54</v>
      </c>
      <c r="K87">
        <v>529</v>
      </c>
      <c r="L87">
        <f t="shared" si="1"/>
        <v>0.52900000000000003</v>
      </c>
      <c r="M87" s="2">
        <v>80.725700478996231</v>
      </c>
      <c r="N87">
        <v>1.3454283413166039</v>
      </c>
      <c r="O87" s="3">
        <v>23.591000000000001</v>
      </c>
    </row>
    <row r="88" spans="1:15" x14ac:dyDescent="0.3">
      <c r="A88">
        <v>24</v>
      </c>
      <c r="B88">
        <v>7</v>
      </c>
      <c r="C88" t="s">
        <v>138</v>
      </c>
      <c r="D88" t="s">
        <v>59</v>
      </c>
      <c r="E88">
        <v>10.8734223</v>
      </c>
      <c r="F88">
        <v>106.80227499999999</v>
      </c>
      <c r="G88">
        <v>10.8746507</v>
      </c>
      <c r="H88">
        <v>106.80613719999999</v>
      </c>
      <c r="I88" t="s">
        <v>27</v>
      </c>
      <c r="J88" t="s">
        <v>56</v>
      </c>
      <c r="K88">
        <v>536</v>
      </c>
      <c r="L88">
        <f t="shared" si="1"/>
        <v>0.53600000000000003</v>
      </c>
      <c r="M88" s="2">
        <v>60.162753718080637</v>
      </c>
      <c r="N88">
        <v>1.0027125619680106</v>
      </c>
      <c r="O88" s="3">
        <v>32.073</v>
      </c>
    </row>
    <row r="89" spans="1:15" x14ac:dyDescent="0.3">
      <c r="A89">
        <v>24</v>
      </c>
      <c r="B89">
        <v>26</v>
      </c>
      <c r="C89" t="s">
        <v>139</v>
      </c>
      <c r="D89" t="s">
        <v>16</v>
      </c>
      <c r="E89">
        <v>10.8734223</v>
      </c>
      <c r="F89">
        <v>106.80227499999999</v>
      </c>
      <c r="G89">
        <v>10.870202799999999</v>
      </c>
      <c r="H89">
        <v>106.8017771</v>
      </c>
      <c r="I89" t="s">
        <v>27</v>
      </c>
      <c r="J89" t="s">
        <v>140</v>
      </c>
      <c r="K89">
        <v>895</v>
      </c>
      <c r="L89">
        <f t="shared" si="1"/>
        <v>0.89500000000000002</v>
      </c>
      <c r="M89">
        <v>236</v>
      </c>
      <c r="N89">
        <v>3.9333333333333331</v>
      </c>
      <c r="O89" s="3">
        <v>13.652542372881349</v>
      </c>
    </row>
    <row r="90" spans="1:15" x14ac:dyDescent="0.3">
      <c r="A90">
        <v>24</v>
      </c>
      <c r="B90">
        <v>25</v>
      </c>
      <c r="C90" t="s">
        <v>141</v>
      </c>
      <c r="D90" t="s">
        <v>20</v>
      </c>
      <c r="E90">
        <v>10.8734223</v>
      </c>
      <c r="F90">
        <v>106.80227499999999</v>
      </c>
      <c r="G90">
        <v>10.8736134</v>
      </c>
      <c r="H90">
        <v>106.8029052</v>
      </c>
      <c r="I90" t="s">
        <v>27</v>
      </c>
      <c r="J90" t="s">
        <v>25</v>
      </c>
      <c r="K90">
        <v>68</v>
      </c>
      <c r="L90">
        <f t="shared" si="1"/>
        <v>6.8000000000000005E-2</v>
      </c>
      <c r="M90">
        <v>9</v>
      </c>
      <c r="N90">
        <v>0.15</v>
      </c>
      <c r="O90" s="3">
        <v>27.2</v>
      </c>
    </row>
    <row r="91" spans="1:15" x14ac:dyDescent="0.3">
      <c r="A91">
        <v>25</v>
      </c>
      <c r="B91">
        <v>24</v>
      </c>
      <c r="C91" t="s">
        <v>142</v>
      </c>
      <c r="D91" t="s">
        <v>20</v>
      </c>
      <c r="E91">
        <v>10.8736134</v>
      </c>
      <c r="F91">
        <v>106.8029052</v>
      </c>
      <c r="G91">
        <v>10.8734223</v>
      </c>
      <c r="H91">
        <v>106.80227499999999</v>
      </c>
      <c r="I91" t="s">
        <v>25</v>
      </c>
      <c r="J91" t="s">
        <v>27</v>
      </c>
      <c r="K91">
        <v>68</v>
      </c>
      <c r="L91">
        <f t="shared" si="1"/>
        <v>6.8000000000000005E-2</v>
      </c>
      <c r="M91">
        <v>11</v>
      </c>
      <c r="N91">
        <v>0.18333333333333329</v>
      </c>
      <c r="O91" s="3">
        <v>22.25454545454545</v>
      </c>
    </row>
    <row r="92" spans="1:15" x14ac:dyDescent="0.3">
      <c r="A92">
        <v>25</v>
      </c>
      <c r="B92">
        <v>19</v>
      </c>
      <c r="C92" t="s">
        <v>143</v>
      </c>
      <c r="D92" t="s">
        <v>59</v>
      </c>
      <c r="E92">
        <v>10.8736134</v>
      </c>
      <c r="F92">
        <v>106.8029052</v>
      </c>
      <c r="G92">
        <v>10.874542999999999</v>
      </c>
      <c r="H92">
        <v>106.8001747</v>
      </c>
      <c r="I92" t="s">
        <v>25</v>
      </c>
      <c r="J92" t="s">
        <v>29</v>
      </c>
      <c r="K92">
        <v>331</v>
      </c>
      <c r="L92">
        <f t="shared" si="1"/>
        <v>0.33100000000000002</v>
      </c>
      <c r="M92" s="2">
        <v>45.144913809433604</v>
      </c>
      <c r="N92">
        <v>0.75241523015722678</v>
      </c>
      <c r="O92" s="3">
        <v>26.395</v>
      </c>
    </row>
    <row r="93" spans="1:15" x14ac:dyDescent="0.3">
      <c r="A93">
        <v>25</v>
      </c>
      <c r="B93">
        <v>4</v>
      </c>
      <c r="C93" t="s">
        <v>144</v>
      </c>
      <c r="D93" t="s">
        <v>59</v>
      </c>
      <c r="E93">
        <v>10.8736134</v>
      </c>
      <c r="F93">
        <v>106.8029052</v>
      </c>
      <c r="G93">
        <v>10.876407499999999</v>
      </c>
      <c r="H93">
        <v>106.8024855</v>
      </c>
      <c r="I93" t="s">
        <v>25</v>
      </c>
      <c r="J93" t="s">
        <v>43</v>
      </c>
      <c r="K93">
        <v>573</v>
      </c>
      <c r="L93">
        <f t="shared" si="1"/>
        <v>0.57299999999999995</v>
      </c>
      <c r="M93" s="2">
        <v>95.85501858736059</v>
      </c>
      <c r="N93">
        <v>1.5975836431226764</v>
      </c>
      <c r="O93" s="3">
        <v>21.52</v>
      </c>
    </row>
    <row r="94" spans="1:15" x14ac:dyDescent="0.3">
      <c r="A94">
        <v>25</v>
      </c>
      <c r="B94">
        <v>26</v>
      </c>
      <c r="C94" t="s">
        <v>145</v>
      </c>
      <c r="D94" t="s">
        <v>16</v>
      </c>
      <c r="E94">
        <v>10.8736134</v>
      </c>
      <c r="F94">
        <v>106.8029052</v>
      </c>
      <c r="G94">
        <v>10.870202799999999</v>
      </c>
      <c r="H94">
        <v>106.8017771</v>
      </c>
      <c r="I94" t="s">
        <v>25</v>
      </c>
      <c r="J94" t="s">
        <v>140</v>
      </c>
      <c r="K94">
        <v>972</v>
      </c>
      <c r="L94">
        <f t="shared" si="1"/>
        <v>0.97199999999999998</v>
      </c>
      <c r="M94" s="2">
        <v>122.81773191534168</v>
      </c>
      <c r="N94">
        <v>2.0469621985890281</v>
      </c>
      <c r="O94" s="3">
        <v>28.491</v>
      </c>
    </row>
    <row r="95" spans="1:15" x14ac:dyDescent="0.3">
      <c r="A95">
        <v>26</v>
      </c>
      <c r="B95">
        <v>6</v>
      </c>
      <c r="C95" t="s">
        <v>146</v>
      </c>
      <c r="D95" t="s">
        <v>16</v>
      </c>
      <c r="E95">
        <v>10.870202799999999</v>
      </c>
      <c r="F95">
        <v>106.8017771</v>
      </c>
      <c r="G95">
        <v>10.875778</v>
      </c>
      <c r="H95">
        <v>106.80510080000001</v>
      </c>
      <c r="I95" t="s">
        <v>140</v>
      </c>
      <c r="J95" t="s">
        <v>54</v>
      </c>
      <c r="K95">
        <v>870</v>
      </c>
      <c r="L95">
        <f t="shared" si="1"/>
        <v>0.87</v>
      </c>
      <c r="M95" s="2">
        <v>128.17679558011051</v>
      </c>
      <c r="N95">
        <v>2.1362799263351753</v>
      </c>
      <c r="O95" s="3">
        <v>24.434999999999999</v>
      </c>
    </row>
    <row r="96" spans="1:15" x14ac:dyDescent="0.3">
      <c r="A96">
        <v>26</v>
      </c>
      <c r="B96">
        <v>7</v>
      </c>
      <c r="C96" t="s">
        <v>147</v>
      </c>
      <c r="D96" t="s">
        <v>16</v>
      </c>
      <c r="E96">
        <v>10.870202799999999</v>
      </c>
      <c r="F96">
        <v>106.8017771</v>
      </c>
      <c r="G96">
        <v>10.8746507</v>
      </c>
      <c r="H96">
        <v>106.80613719999999</v>
      </c>
      <c r="I96" t="s">
        <v>140</v>
      </c>
      <c r="J96" t="s">
        <v>56</v>
      </c>
      <c r="K96">
        <v>877</v>
      </c>
      <c r="L96">
        <f t="shared" si="1"/>
        <v>0.877</v>
      </c>
      <c r="M96" s="2">
        <v>96.909051843211884</v>
      </c>
      <c r="N96">
        <v>1.6151508640535315</v>
      </c>
      <c r="O96" s="3">
        <v>32.579000000000001</v>
      </c>
    </row>
    <row r="97" spans="1:15" x14ac:dyDescent="0.3">
      <c r="A97">
        <v>26</v>
      </c>
      <c r="B97">
        <v>25</v>
      </c>
      <c r="C97" t="s">
        <v>148</v>
      </c>
      <c r="D97" t="s">
        <v>59</v>
      </c>
      <c r="E97">
        <v>10.870202799999999</v>
      </c>
      <c r="F97">
        <v>106.8017771</v>
      </c>
      <c r="G97">
        <v>10.8736134</v>
      </c>
      <c r="H97">
        <v>106.8029052</v>
      </c>
      <c r="I97" t="s">
        <v>140</v>
      </c>
      <c r="J97" t="s">
        <v>25</v>
      </c>
      <c r="K97">
        <v>407</v>
      </c>
      <c r="L97">
        <f t="shared" si="1"/>
        <v>0.40699999999999997</v>
      </c>
      <c r="M97">
        <v>91</v>
      </c>
      <c r="N97">
        <v>1.5166666666666671</v>
      </c>
      <c r="O97" s="3">
        <v>16.101098901098901</v>
      </c>
    </row>
    <row r="98" spans="1:15" x14ac:dyDescent="0.3">
      <c r="A98">
        <v>27</v>
      </c>
      <c r="B98">
        <v>28</v>
      </c>
      <c r="C98" t="s">
        <v>149</v>
      </c>
      <c r="D98" t="s">
        <v>20</v>
      </c>
      <c r="E98">
        <v>10.8677212</v>
      </c>
      <c r="F98">
        <v>106.7950793</v>
      </c>
      <c r="G98">
        <v>10.866787800000001</v>
      </c>
      <c r="H98">
        <v>106.7945856</v>
      </c>
      <c r="I98" t="s">
        <v>150</v>
      </c>
      <c r="J98" t="s">
        <v>134</v>
      </c>
      <c r="K98">
        <v>116</v>
      </c>
      <c r="L98">
        <f t="shared" si="1"/>
        <v>0.11600000000000001</v>
      </c>
      <c r="M98">
        <v>22</v>
      </c>
      <c r="N98">
        <v>0.36666666666666659</v>
      </c>
      <c r="O98" s="3">
        <v>18.981818181818181</v>
      </c>
    </row>
    <row r="99" spans="1:15" x14ac:dyDescent="0.3">
      <c r="A99">
        <v>27</v>
      </c>
      <c r="B99">
        <v>23</v>
      </c>
      <c r="C99" t="s">
        <v>151</v>
      </c>
      <c r="D99" t="s">
        <v>16</v>
      </c>
      <c r="E99">
        <v>10.8677212</v>
      </c>
      <c r="F99">
        <v>106.7950793</v>
      </c>
      <c r="G99">
        <v>10.870383</v>
      </c>
      <c r="H99">
        <v>106.79585830000001</v>
      </c>
      <c r="I99" t="s">
        <v>150</v>
      </c>
      <c r="J99" t="s">
        <v>132</v>
      </c>
      <c r="K99">
        <v>361</v>
      </c>
      <c r="L99">
        <f t="shared" si="1"/>
        <v>0.36099999999999999</v>
      </c>
      <c r="M99">
        <v>51</v>
      </c>
      <c r="N99">
        <v>0.85</v>
      </c>
      <c r="O99" s="3">
        <v>25.482352941176469</v>
      </c>
    </row>
    <row r="100" spans="1:15" x14ac:dyDescent="0.3">
      <c r="A100">
        <v>28</v>
      </c>
      <c r="B100">
        <v>27</v>
      </c>
      <c r="C100" t="s">
        <v>152</v>
      </c>
      <c r="D100" t="s">
        <v>20</v>
      </c>
      <c r="E100">
        <v>10.866787800000001</v>
      </c>
      <c r="F100">
        <v>106.7945856</v>
      </c>
      <c r="G100">
        <v>10.8677212</v>
      </c>
      <c r="H100">
        <v>106.7950793</v>
      </c>
      <c r="I100" t="s">
        <v>134</v>
      </c>
      <c r="J100" t="s">
        <v>150</v>
      </c>
      <c r="K100">
        <v>116</v>
      </c>
      <c r="L100">
        <f t="shared" si="1"/>
        <v>0.11600000000000001</v>
      </c>
      <c r="M100">
        <v>14</v>
      </c>
      <c r="N100">
        <v>0.23333333333333331</v>
      </c>
      <c r="O100" s="3">
        <v>29.828571428571429</v>
      </c>
    </row>
    <row r="101" spans="1:15" x14ac:dyDescent="0.3">
      <c r="A101">
        <v>28</v>
      </c>
      <c r="B101">
        <v>30</v>
      </c>
      <c r="C101" t="s">
        <v>153</v>
      </c>
      <c r="D101" t="s">
        <v>16</v>
      </c>
      <c r="E101">
        <v>10.866787800000001</v>
      </c>
      <c r="F101">
        <v>106.7945856</v>
      </c>
      <c r="G101">
        <v>10.8654768</v>
      </c>
      <c r="H101">
        <v>106.7937506</v>
      </c>
      <c r="I101" t="s">
        <v>134</v>
      </c>
      <c r="J101" t="s">
        <v>154</v>
      </c>
      <c r="K101">
        <v>253</v>
      </c>
      <c r="L101">
        <f t="shared" si="1"/>
        <v>0.253</v>
      </c>
      <c r="M101">
        <v>49</v>
      </c>
      <c r="N101">
        <v>0.81666666666666665</v>
      </c>
      <c r="O101" s="3">
        <v>18.58775510204082</v>
      </c>
    </row>
    <row r="102" spans="1:15" x14ac:dyDescent="0.3">
      <c r="A102">
        <v>28</v>
      </c>
      <c r="B102">
        <v>29</v>
      </c>
      <c r="C102" t="s">
        <v>155</v>
      </c>
      <c r="D102" t="s">
        <v>16</v>
      </c>
      <c r="E102">
        <v>10.866787800000001</v>
      </c>
      <c r="F102">
        <v>106.7945856</v>
      </c>
      <c r="G102">
        <v>10.8669175</v>
      </c>
      <c r="H102">
        <v>106.7911828</v>
      </c>
      <c r="I102" t="s">
        <v>134</v>
      </c>
      <c r="J102" t="s">
        <v>156</v>
      </c>
      <c r="K102">
        <v>449</v>
      </c>
      <c r="L102">
        <f t="shared" si="1"/>
        <v>0.44900000000000001</v>
      </c>
      <c r="M102">
        <v>89</v>
      </c>
      <c r="N102">
        <v>1.4833333333333329</v>
      </c>
      <c r="O102" s="3">
        <v>18.16179775280899</v>
      </c>
    </row>
    <row r="103" spans="1:15" x14ac:dyDescent="0.3">
      <c r="A103">
        <v>29</v>
      </c>
      <c r="B103">
        <v>54</v>
      </c>
      <c r="C103" t="s">
        <v>157</v>
      </c>
      <c r="D103" t="s">
        <v>16</v>
      </c>
      <c r="E103">
        <v>10.8669175</v>
      </c>
      <c r="F103">
        <v>106.7911828</v>
      </c>
      <c r="G103">
        <v>10.867910999999999</v>
      </c>
      <c r="H103">
        <v>106.7878803</v>
      </c>
      <c r="I103" t="s">
        <v>156</v>
      </c>
      <c r="J103" t="s">
        <v>158</v>
      </c>
      <c r="K103">
        <v>398</v>
      </c>
      <c r="L103">
        <f t="shared" si="1"/>
        <v>0.39800000000000002</v>
      </c>
      <c r="M103">
        <v>78</v>
      </c>
      <c r="N103">
        <v>1.3</v>
      </c>
      <c r="O103" s="3">
        <v>18.369230769230771</v>
      </c>
    </row>
    <row r="104" spans="1:15" x14ac:dyDescent="0.3">
      <c r="A104">
        <v>29</v>
      </c>
      <c r="B104">
        <v>55</v>
      </c>
      <c r="C104" t="s">
        <v>159</v>
      </c>
      <c r="D104" t="s">
        <v>16</v>
      </c>
      <c r="E104">
        <v>10.8669175</v>
      </c>
      <c r="F104">
        <v>106.7911828</v>
      </c>
      <c r="G104">
        <v>10.867361900000001</v>
      </c>
      <c r="H104">
        <v>106.78721950000001</v>
      </c>
      <c r="I104" t="s">
        <v>156</v>
      </c>
      <c r="J104" t="s">
        <v>160</v>
      </c>
      <c r="K104">
        <v>438</v>
      </c>
      <c r="L104">
        <f t="shared" si="1"/>
        <v>0.438</v>
      </c>
      <c r="M104">
        <v>105</v>
      </c>
      <c r="N104">
        <v>1.75</v>
      </c>
      <c r="O104" s="3">
        <v>15.01714285714286</v>
      </c>
    </row>
    <row r="105" spans="1:15" x14ac:dyDescent="0.3">
      <c r="A105">
        <v>30</v>
      </c>
      <c r="B105">
        <v>29</v>
      </c>
      <c r="C105" t="s">
        <v>161</v>
      </c>
      <c r="D105" t="s">
        <v>16</v>
      </c>
      <c r="E105">
        <v>10.8654768</v>
      </c>
      <c r="F105">
        <v>106.7937506</v>
      </c>
      <c r="G105">
        <v>10.8669175</v>
      </c>
      <c r="H105">
        <v>106.7911828</v>
      </c>
      <c r="I105" t="s">
        <v>154</v>
      </c>
      <c r="J105" t="s">
        <v>156</v>
      </c>
      <c r="K105">
        <v>328</v>
      </c>
      <c r="L105">
        <f t="shared" si="1"/>
        <v>0.32800000000000001</v>
      </c>
      <c r="M105">
        <v>46</v>
      </c>
      <c r="N105">
        <v>0.76666666666666672</v>
      </c>
      <c r="O105" s="3">
        <v>25.669565217391309</v>
      </c>
    </row>
    <row r="106" spans="1:15" x14ac:dyDescent="0.3">
      <c r="A106">
        <v>30</v>
      </c>
      <c r="B106">
        <v>28</v>
      </c>
      <c r="C106" t="s">
        <v>162</v>
      </c>
      <c r="D106" t="s">
        <v>59</v>
      </c>
      <c r="E106">
        <v>10.8654768</v>
      </c>
      <c r="F106">
        <v>106.7937506</v>
      </c>
      <c r="G106">
        <v>10.866787800000001</v>
      </c>
      <c r="H106">
        <v>106.7945856</v>
      </c>
      <c r="I106" t="s">
        <v>154</v>
      </c>
      <c r="J106" t="s">
        <v>134</v>
      </c>
      <c r="K106">
        <v>417</v>
      </c>
      <c r="L106">
        <f t="shared" si="1"/>
        <v>0.41699999999999998</v>
      </c>
      <c r="M106">
        <v>72</v>
      </c>
      <c r="N106">
        <v>1.2</v>
      </c>
      <c r="O106" s="3">
        <v>20.85</v>
      </c>
    </row>
    <row r="107" spans="1:15" x14ac:dyDescent="0.3">
      <c r="A107">
        <v>31</v>
      </c>
      <c r="B107">
        <v>30</v>
      </c>
      <c r="C107" t="s">
        <v>163</v>
      </c>
      <c r="D107" t="s">
        <v>16</v>
      </c>
      <c r="E107">
        <v>10.866216100000001</v>
      </c>
      <c r="F107">
        <v>106.8005276</v>
      </c>
      <c r="G107">
        <v>10.8654768</v>
      </c>
      <c r="H107">
        <v>106.7937506</v>
      </c>
      <c r="I107" t="s">
        <v>164</v>
      </c>
      <c r="J107" t="s">
        <v>154</v>
      </c>
      <c r="K107">
        <v>874</v>
      </c>
      <c r="L107">
        <f t="shared" si="1"/>
        <v>0.874</v>
      </c>
      <c r="M107">
        <v>121</v>
      </c>
      <c r="N107">
        <v>2.0166666666666671</v>
      </c>
      <c r="O107" s="3">
        <v>26.00330578512397</v>
      </c>
    </row>
    <row r="108" spans="1:15" x14ac:dyDescent="0.3">
      <c r="A108">
        <v>31</v>
      </c>
      <c r="B108">
        <v>27</v>
      </c>
      <c r="C108" t="s">
        <v>165</v>
      </c>
      <c r="D108" t="s">
        <v>16</v>
      </c>
      <c r="E108">
        <v>10.866216100000001</v>
      </c>
      <c r="F108">
        <v>106.8005276</v>
      </c>
      <c r="G108">
        <v>10.8677212</v>
      </c>
      <c r="H108">
        <v>106.7950793</v>
      </c>
      <c r="I108" t="s">
        <v>164</v>
      </c>
      <c r="J108" t="s">
        <v>150</v>
      </c>
      <c r="K108">
        <v>1139</v>
      </c>
      <c r="L108">
        <f t="shared" si="1"/>
        <v>1.139</v>
      </c>
      <c r="M108">
        <v>311</v>
      </c>
      <c r="N108">
        <v>5.1833333333333336</v>
      </c>
      <c r="O108" s="3">
        <v>13.184565916398711</v>
      </c>
    </row>
    <row r="109" spans="1:15" x14ac:dyDescent="0.3">
      <c r="A109">
        <v>32</v>
      </c>
      <c r="B109">
        <v>31</v>
      </c>
      <c r="C109" t="s">
        <v>166</v>
      </c>
      <c r="D109" t="s">
        <v>16</v>
      </c>
      <c r="E109">
        <v>10.868597899999999</v>
      </c>
      <c r="F109">
        <v>106.8041216</v>
      </c>
      <c r="G109">
        <v>10.866216100000001</v>
      </c>
      <c r="H109">
        <v>106.8005276</v>
      </c>
      <c r="I109" t="s">
        <v>167</v>
      </c>
      <c r="J109" t="s">
        <v>164</v>
      </c>
      <c r="K109">
        <v>475</v>
      </c>
      <c r="L109">
        <f t="shared" si="1"/>
        <v>0.47499999999999998</v>
      </c>
      <c r="M109">
        <v>55</v>
      </c>
      <c r="N109">
        <v>0.91666666666666663</v>
      </c>
      <c r="O109" s="3">
        <v>31.09090909090909</v>
      </c>
    </row>
    <row r="110" spans="1:15" x14ac:dyDescent="0.3">
      <c r="A110">
        <v>33</v>
      </c>
      <c r="B110">
        <v>32</v>
      </c>
      <c r="C110" t="s">
        <v>168</v>
      </c>
      <c r="D110" t="s">
        <v>16</v>
      </c>
      <c r="E110">
        <v>10.8713888</v>
      </c>
      <c r="F110">
        <v>106.80665980000001</v>
      </c>
      <c r="G110">
        <v>10.868597899999999</v>
      </c>
      <c r="H110">
        <v>106.8041216</v>
      </c>
      <c r="I110" t="s">
        <v>68</v>
      </c>
      <c r="J110" t="s">
        <v>167</v>
      </c>
      <c r="K110">
        <v>416</v>
      </c>
      <c r="L110">
        <f t="shared" si="1"/>
        <v>0.41599999999999998</v>
      </c>
      <c r="M110">
        <v>50</v>
      </c>
      <c r="N110">
        <v>0.83333333333333337</v>
      </c>
      <c r="O110" s="3">
        <v>29.952000000000002</v>
      </c>
    </row>
    <row r="111" spans="1:15" x14ac:dyDescent="0.3">
      <c r="A111">
        <v>33</v>
      </c>
      <c r="B111">
        <v>81</v>
      </c>
      <c r="C111" t="s">
        <v>169</v>
      </c>
      <c r="D111" t="s">
        <v>16</v>
      </c>
      <c r="E111">
        <v>10.8713888</v>
      </c>
      <c r="F111">
        <v>106.80665980000001</v>
      </c>
      <c r="G111">
        <v>10.873553100000001</v>
      </c>
      <c r="H111">
        <v>106.8094979</v>
      </c>
      <c r="I111" t="s">
        <v>68</v>
      </c>
      <c r="J111" t="s">
        <v>170</v>
      </c>
      <c r="K111">
        <v>545</v>
      </c>
      <c r="L111">
        <f t="shared" si="1"/>
        <v>0.54500000000000004</v>
      </c>
      <c r="M111">
        <v>99</v>
      </c>
      <c r="N111">
        <v>1.65</v>
      </c>
      <c r="O111" s="3">
        <v>19.81818181818182</v>
      </c>
    </row>
    <row r="112" spans="1:15" x14ac:dyDescent="0.3">
      <c r="A112">
        <v>34</v>
      </c>
      <c r="B112">
        <v>10</v>
      </c>
      <c r="C112" t="s">
        <v>171</v>
      </c>
      <c r="D112" t="s">
        <v>16</v>
      </c>
      <c r="E112">
        <v>10.879201500000001</v>
      </c>
      <c r="F112">
        <v>106.8129488</v>
      </c>
      <c r="G112">
        <v>10.876201399999999</v>
      </c>
      <c r="H112">
        <v>106.807517</v>
      </c>
      <c r="I112" t="s">
        <v>172</v>
      </c>
      <c r="J112" t="s">
        <v>75</v>
      </c>
      <c r="K112">
        <v>1211</v>
      </c>
      <c r="L112">
        <f t="shared" si="1"/>
        <v>1.2110000000000001</v>
      </c>
      <c r="M112">
        <v>207</v>
      </c>
      <c r="N112">
        <v>3.45</v>
      </c>
      <c r="O112" s="3">
        <v>21.060869565217391</v>
      </c>
    </row>
    <row r="113" spans="1:15" x14ac:dyDescent="0.3">
      <c r="A113">
        <v>34</v>
      </c>
      <c r="B113">
        <v>8</v>
      </c>
      <c r="C113" t="s">
        <v>173</v>
      </c>
      <c r="D113" t="s">
        <v>16</v>
      </c>
      <c r="E113">
        <v>10.879201500000001</v>
      </c>
      <c r="F113">
        <v>106.8129488</v>
      </c>
      <c r="G113">
        <v>10.874314099999999</v>
      </c>
      <c r="H113">
        <v>106.80705399999999</v>
      </c>
      <c r="I113" t="s">
        <v>172</v>
      </c>
      <c r="J113" t="s">
        <v>70</v>
      </c>
      <c r="K113">
        <v>999</v>
      </c>
      <c r="L113">
        <f t="shared" si="1"/>
        <v>0.999</v>
      </c>
      <c r="M113">
        <v>162</v>
      </c>
      <c r="N113">
        <v>2.7</v>
      </c>
      <c r="O113" s="3">
        <v>22.2</v>
      </c>
    </row>
    <row r="114" spans="1:15" x14ac:dyDescent="0.3">
      <c r="A114">
        <v>34</v>
      </c>
      <c r="B114">
        <v>33</v>
      </c>
      <c r="C114" t="s">
        <v>174</v>
      </c>
      <c r="D114" t="s">
        <v>16</v>
      </c>
      <c r="E114">
        <v>10.879201500000001</v>
      </c>
      <c r="F114">
        <v>106.8129488</v>
      </c>
      <c r="G114">
        <v>10.8713888</v>
      </c>
      <c r="H114">
        <v>106.80665980000001</v>
      </c>
      <c r="I114" t="s">
        <v>172</v>
      </c>
      <c r="J114" t="s">
        <v>68</v>
      </c>
      <c r="K114">
        <v>1117</v>
      </c>
      <c r="L114">
        <f t="shared" si="1"/>
        <v>1.117</v>
      </c>
      <c r="M114">
        <v>159</v>
      </c>
      <c r="N114">
        <v>2.65</v>
      </c>
      <c r="O114" s="3">
        <v>25.29056603773585</v>
      </c>
    </row>
    <row r="115" spans="1:15" x14ac:dyDescent="0.3">
      <c r="A115">
        <v>35</v>
      </c>
      <c r="B115">
        <v>34</v>
      </c>
      <c r="C115" t="s">
        <v>175</v>
      </c>
      <c r="D115" t="s">
        <v>16</v>
      </c>
      <c r="E115">
        <v>10.8809737</v>
      </c>
      <c r="F115">
        <v>106.8142454</v>
      </c>
      <c r="G115">
        <v>10.879201500000001</v>
      </c>
      <c r="H115">
        <v>106.8129488</v>
      </c>
      <c r="I115" t="s">
        <v>41</v>
      </c>
      <c r="J115" t="s">
        <v>172</v>
      </c>
      <c r="K115">
        <v>242</v>
      </c>
      <c r="L115">
        <f t="shared" si="1"/>
        <v>0.24199999999999999</v>
      </c>
      <c r="M115">
        <v>26</v>
      </c>
      <c r="N115">
        <v>0.43333333333333329</v>
      </c>
      <c r="O115" s="3">
        <v>33.507692307692309</v>
      </c>
    </row>
    <row r="116" spans="1:15" x14ac:dyDescent="0.3">
      <c r="A116">
        <v>35</v>
      </c>
      <c r="B116">
        <v>15</v>
      </c>
      <c r="C116" t="s">
        <v>176</v>
      </c>
      <c r="D116" t="s">
        <v>16</v>
      </c>
      <c r="E116">
        <v>10.8809737</v>
      </c>
      <c r="F116">
        <v>106.8142454</v>
      </c>
      <c r="G116">
        <v>10.880791</v>
      </c>
      <c r="H116">
        <v>106.81063399999999</v>
      </c>
      <c r="I116" t="s">
        <v>41</v>
      </c>
      <c r="J116" t="s">
        <v>39</v>
      </c>
      <c r="K116">
        <v>548</v>
      </c>
      <c r="L116">
        <f t="shared" si="1"/>
        <v>0.54800000000000004</v>
      </c>
      <c r="M116">
        <v>95</v>
      </c>
      <c r="N116">
        <v>1.583333333333333</v>
      </c>
      <c r="O116" s="3">
        <v>20.766315789473691</v>
      </c>
    </row>
    <row r="117" spans="1:15" x14ac:dyDescent="0.3">
      <c r="A117">
        <v>35</v>
      </c>
      <c r="B117">
        <v>13</v>
      </c>
      <c r="C117" t="s">
        <v>177</v>
      </c>
      <c r="D117" t="s">
        <v>16</v>
      </c>
      <c r="E117">
        <v>10.8809737</v>
      </c>
      <c r="F117">
        <v>106.8142454</v>
      </c>
      <c r="G117">
        <v>10.8801103</v>
      </c>
      <c r="H117">
        <v>106.80718299999999</v>
      </c>
      <c r="I117" t="s">
        <v>41</v>
      </c>
      <c r="J117" t="s">
        <v>35</v>
      </c>
      <c r="K117">
        <v>1095</v>
      </c>
      <c r="L117">
        <f t="shared" si="1"/>
        <v>1.095</v>
      </c>
      <c r="M117">
        <v>176</v>
      </c>
      <c r="N117">
        <v>2.9333333333333331</v>
      </c>
      <c r="O117" s="3">
        <v>22.39772727272727</v>
      </c>
    </row>
    <row r="118" spans="1:15" x14ac:dyDescent="0.3">
      <c r="A118">
        <v>35</v>
      </c>
      <c r="B118">
        <v>10</v>
      </c>
      <c r="C118" t="s">
        <v>178</v>
      </c>
      <c r="D118" t="s">
        <v>16</v>
      </c>
      <c r="E118">
        <v>10.8809737</v>
      </c>
      <c r="F118">
        <v>106.8142454</v>
      </c>
      <c r="G118">
        <v>10.876201399999999</v>
      </c>
      <c r="H118">
        <v>106.807517</v>
      </c>
      <c r="I118" t="s">
        <v>41</v>
      </c>
      <c r="J118" t="s">
        <v>75</v>
      </c>
      <c r="K118">
        <v>1295</v>
      </c>
      <c r="L118">
        <f t="shared" si="1"/>
        <v>1.2949999999999999</v>
      </c>
      <c r="M118">
        <v>270</v>
      </c>
      <c r="N118">
        <v>4.5</v>
      </c>
      <c r="O118" s="3">
        <v>17.266666666666669</v>
      </c>
    </row>
    <row r="119" spans="1:15" x14ac:dyDescent="0.3">
      <c r="A119">
        <v>35</v>
      </c>
      <c r="B119">
        <v>8</v>
      </c>
      <c r="C119" t="s">
        <v>179</v>
      </c>
      <c r="D119" t="s">
        <v>16</v>
      </c>
      <c r="E119">
        <v>10.8809737</v>
      </c>
      <c r="F119">
        <v>106.8142454</v>
      </c>
      <c r="G119">
        <v>10.874314099999999</v>
      </c>
      <c r="H119">
        <v>106.80705399999999</v>
      </c>
      <c r="I119" t="s">
        <v>41</v>
      </c>
      <c r="J119" t="s">
        <v>70</v>
      </c>
      <c r="K119">
        <v>1232</v>
      </c>
      <c r="L119">
        <f t="shared" si="1"/>
        <v>1.232</v>
      </c>
      <c r="M119">
        <v>272</v>
      </c>
      <c r="N119">
        <v>4.5333333333333332</v>
      </c>
      <c r="O119" s="3">
        <v>16.305882352941179</v>
      </c>
    </row>
    <row r="120" spans="1:15" x14ac:dyDescent="0.3">
      <c r="A120">
        <v>35</v>
      </c>
      <c r="B120">
        <v>41</v>
      </c>
      <c r="C120" t="s">
        <v>180</v>
      </c>
      <c r="D120" t="s">
        <v>16</v>
      </c>
      <c r="E120">
        <v>10.8809737</v>
      </c>
      <c r="F120">
        <v>106.8142454</v>
      </c>
      <c r="G120">
        <v>10.887394199999999</v>
      </c>
      <c r="H120">
        <v>106.8047072</v>
      </c>
      <c r="I120" t="s">
        <v>41</v>
      </c>
      <c r="J120" t="s">
        <v>37</v>
      </c>
      <c r="K120">
        <v>1606</v>
      </c>
      <c r="L120">
        <f t="shared" si="1"/>
        <v>1.6060000000000001</v>
      </c>
      <c r="M120">
        <v>244</v>
      </c>
      <c r="N120">
        <v>4.0666666666666664</v>
      </c>
      <c r="O120" s="3">
        <v>23.69508196721311</v>
      </c>
    </row>
    <row r="121" spans="1:15" x14ac:dyDescent="0.3">
      <c r="A121">
        <v>35</v>
      </c>
      <c r="B121">
        <v>79</v>
      </c>
      <c r="C121" t="s">
        <v>181</v>
      </c>
      <c r="D121" t="s">
        <v>59</v>
      </c>
      <c r="E121">
        <v>10.8809737</v>
      </c>
      <c r="F121">
        <v>106.8142454</v>
      </c>
      <c r="G121">
        <v>10.8892959</v>
      </c>
      <c r="H121">
        <v>106.8055626</v>
      </c>
      <c r="I121" t="s">
        <v>41</v>
      </c>
      <c r="J121" t="s">
        <v>103</v>
      </c>
      <c r="K121">
        <v>1679</v>
      </c>
      <c r="L121">
        <f t="shared" si="1"/>
        <v>1.679</v>
      </c>
      <c r="M121">
        <v>235</v>
      </c>
      <c r="N121">
        <v>3.916666666666667</v>
      </c>
      <c r="O121" s="3">
        <v>25.720851063829791</v>
      </c>
    </row>
    <row r="122" spans="1:15" x14ac:dyDescent="0.3">
      <c r="A122">
        <v>35</v>
      </c>
      <c r="B122">
        <v>42</v>
      </c>
      <c r="C122" t="s">
        <v>182</v>
      </c>
      <c r="D122" t="s">
        <v>16</v>
      </c>
      <c r="E122">
        <v>10.8809737</v>
      </c>
      <c r="F122">
        <v>106.8142454</v>
      </c>
      <c r="G122">
        <v>10.883092</v>
      </c>
      <c r="H122">
        <v>106.8</v>
      </c>
      <c r="I122" t="s">
        <v>41</v>
      </c>
      <c r="J122" t="s">
        <v>31</v>
      </c>
      <c r="K122">
        <v>1982</v>
      </c>
      <c r="L122">
        <f t="shared" si="1"/>
        <v>1.982</v>
      </c>
      <c r="M122">
        <v>282</v>
      </c>
      <c r="N122">
        <v>4.7</v>
      </c>
      <c r="O122" s="3">
        <v>25.30212765957447</v>
      </c>
    </row>
    <row r="123" spans="1:15" x14ac:dyDescent="0.3">
      <c r="A123">
        <v>35</v>
      </c>
      <c r="B123">
        <v>43</v>
      </c>
      <c r="C123" t="s">
        <v>183</v>
      </c>
      <c r="D123" t="s">
        <v>16</v>
      </c>
      <c r="E123">
        <v>10.8809737</v>
      </c>
      <c r="F123">
        <v>106.8142454</v>
      </c>
      <c r="G123">
        <v>10.885055700000001</v>
      </c>
      <c r="H123">
        <v>106.80008220000001</v>
      </c>
      <c r="I123" t="s">
        <v>41</v>
      </c>
      <c r="J123" t="s">
        <v>33</v>
      </c>
      <c r="K123">
        <v>2116</v>
      </c>
      <c r="L123">
        <f t="shared" si="1"/>
        <v>2.1160000000000001</v>
      </c>
      <c r="M123">
        <v>304</v>
      </c>
      <c r="N123">
        <v>5.0666666666666664</v>
      </c>
      <c r="O123" s="3">
        <v>25.057894736842101</v>
      </c>
    </row>
    <row r="124" spans="1:15" x14ac:dyDescent="0.3">
      <c r="A124">
        <v>36</v>
      </c>
      <c r="B124">
        <v>37</v>
      </c>
      <c r="C124" t="s">
        <v>184</v>
      </c>
      <c r="D124" t="s">
        <v>20</v>
      </c>
      <c r="E124">
        <v>10.8911157</v>
      </c>
      <c r="F124">
        <v>106.8017043</v>
      </c>
      <c r="G124">
        <v>10.891579</v>
      </c>
      <c r="H124">
        <v>106.80068</v>
      </c>
      <c r="I124" t="s">
        <v>185</v>
      </c>
      <c r="J124" t="s">
        <v>186</v>
      </c>
      <c r="K124">
        <v>120</v>
      </c>
      <c r="L124">
        <f t="shared" si="1"/>
        <v>0.12</v>
      </c>
      <c r="M124">
        <v>14</v>
      </c>
      <c r="N124">
        <v>0.23333333333333331</v>
      </c>
      <c r="O124" s="3">
        <v>30.857142857142861</v>
      </c>
    </row>
    <row r="125" spans="1:15" x14ac:dyDescent="0.3">
      <c r="A125">
        <v>36</v>
      </c>
      <c r="B125">
        <v>78</v>
      </c>
      <c r="C125" t="s">
        <v>187</v>
      </c>
      <c r="D125" t="s">
        <v>16</v>
      </c>
      <c r="E125">
        <v>10.8911157</v>
      </c>
      <c r="F125">
        <v>106.8017043</v>
      </c>
      <c r="G125">
        <v>10.889412999999999</v>
      </c>
      <c r="H125">
        <v>106.8052248</v>
      </c>
      <c r="I125" t="s">
        <v>185</v>
      </c>
      <c r="J125" t="s">
        <v>188</v>
      </c>
      <c r="K125">
        <v>509</v>
      </c>
      <c r="L125">
        <f t="shared" si="1"/>
        <v>0.50900000000000001</v>
      </c>
      <c r="M125">
        <v>71</v>
      </c>
      <c r="N125">
        <v>1.1833333333333329</v>
      </c>
      <c r="O125" s="3">
        <v>25.808450704225351</v>
      </c>
    </row>
    <row r="126" spans="1:15" x14ac:dyDescent="0.3">
      <c r="A126">
        <v>37</v>
      </c>
      <c r="B126">
        <v>36</v>
      </c>
      <c r="C126" t="s">
        <v>189</v>
      </c>
      <c r="D126" t="s">
        <v>20</v>
      </c>
      <c r="E126">
        <v>10.891579</v>
      </c>
      <c r="F126">
        <v>106.80068</v>
      </c>
      <c r="G126">
        <v>10.8911157</v>
      </c>
      <c r="H126">
        <v>106.8017043</v>
      </c>
      <c r="I126" t="s">
        <v>186</v>
      </c>
      <c r="J126" t="s">
        <v>185</v>
      </c>
      <c r="K126">
        <v>120</v>
      </c>
      <c r="L126">
        <f t="shared" si="1"/>
        <v>0.12</v>
      </c>
      <c r="M126">
        <v>13</v>
      </c>
      <c r="N126">
        <v>0.2166666666666667</v>
      </c>
      <c r="O126" s="3">
        <v>33.230769230769234</v>
      </c>
    </row>
    <row r="127" spans="1:15" x14ac:dyDescent="0.3">
      <c r="A127">
        <v>37</v>
      </c>
      <c r="B127">
        <v>45</v>
      </c>
      <c r="C127" t="s">
        <v>190</v>
      </c>
      <c r="D127" t="s">
        <v>16</v>
      </c>
      <c r="E127">
        <v>10.891579</v>
      </c>
      <c r="F127">
        <v>106.80068</v>
      </c>
      <c r="G127">
        <v>10.888683800000001</v>
      </c>
      <c r="H127">
        <v>106.79883820000001</v>
      </c>
      <c r="I127" t="s">
        <v>186</v>
      </c>
      <c r="J127" t="s">
        <v>33</v>
      </c>
      <c r="K127">
        <v>617</v>
      </c>
      <c r="L127">
        <f t="shared" ref="L127:L190" si="2">K127/1000</f>
        <v>0.61699999999999999</v>
      </c>
      <c r="M127">
        <v>88</v>
      </c>
      <c r="N127">
        <v>1.466666666666667</v>
      </c>
      <c r="O127" s="3">
        <v>25.240909090909089</v>
      </c>
    </row>
    <row r="128" spans="1:15" x14ac:dyDescent="0.3">
      <c r="A128">
        <v>37</v>
      </c>
      <c r="B128">
        <v>39</v>
      </c>
      <c r="C128" t="s">
        <v>191</v>
      </c>
      <c r="D128" t="s">
        <v>16</v>
      </c>
      <c r="E128">
        <v>10.891579</v>
      </c>
      <c r="F128">
        <v>106.80068</v>
      </c>
      <c r="G128">
        <v>10.8938656</v>
      </c>
      <c r="H128">
        <v>106.79264240000001</v>
      </c>
      <c r="I128" t="s">
        <v>186</v>
      </c>
      <c r="J128" t="s">
        <v>192</v>
      </c>
      <c r="K128">
        <v>922</v>
      </c>
      <c r="L128">
        <f t="shared" si="2"/>
        <v>0.92200000000000004</v>
      </c>
      <c r="M128">
        <v>113</v>
      </c>
      <c r="N128">
        <v>1.8833333333333331</v>
      </c>
      <c r="O128" s="3">
        <v>29.373451327433632</v>
      </c>
    </row>
    <row r="129" spans="1:15" x14ac:dyDescent="0.3">
      <c r="A129">
        <v>38</v>
      </c>
      <c r="B129">
        <v>39</v>
      </c>
      <c r="C129" t="s">
        <v>193</v>
      </c>
      <c r="D129" t="s">
        <v>20</v>
      </c>
      <c r="E129">
        <v>10.893818400000001</v>
      </c>
      <c r="F129">
        <v>106.7920074</v>
      </c>
      <c r="G129">
        <v>10.8938656</v>
      </c>
      <c r="H129">
        <v>106.79264240000001</v>
      </c>
      <c r="I129" t="s">
        <v>192</v>
      </c>
      <c r="J129" t="s">
        <v>192</v>
      </c>
      <c r="K129">
        <v>65</v>
      </c>
      <c r="L129">
        <f t="shared" si="2"/>
        <v>6.5000000000000002E-2</v>
      </c>
      <c r="M129">
        <v>11</v>
      </c>
      <c r="N129">
        <v>0.18333333333333329</v>
      </c>
      <c r="O129" s="3">
        <v>21.27272727272727</v>
      </c>
    </row>
    <row r="130" spans="1:15" x14ac:dyDescent="0.3">
      <c r="A130">
        <v>38</v>
      </c>
      <c r="B130">
        <v>45</v>
      </c>
      <c r="C130" t="s">
        <v>194</v>
      </c>
      <c r="D130" t="s">
        <v>16</v>
      </c>
      <c r="E130">
        <v>10.893818400000001</v>
      </c>
      <c r="F130">
        <v>106.7920074</v>
      </c>
      <c r="G130">
        <v>10.888683800000001</v>
      </c>
      <c r="H130">
        <v>106.79883820000001</v>
      </c>
      <c r="I130" t="s">
        <v>192</v>
      </c>
      <c r="J130" t="s">
        <v>33</v>
      </c>
      <c r="K130">
        <v>1103</v>
      </c>
      <c r="L130">
        <f t="shared" si="2"/>
        <v>1.103</v>
      </c>
      <c r="M130" s="2">
        <v>104.60760294001422</v>
      </c>
      <c r="N130">
        <v>1.743460049000237</v>
      </c>
      <c r="O130" s="3">
        <v>37.959000000000003</v>
      </c>
    </row>
    <row r="131" spans="1:15" x14ac:dyDescent="0.3">
      <c r="A131">
        <v>38</v>
      </c>
      <c r="B131">
        <v>36</v>
      </c>
      <c r="C131" t="s">
        <v>195</v>
      </c>
      <c r="D131" t="s">
        <v>16</v>
      </c>
      <c r="E131">
        <v>10.893818400000001</v>
      </c>
      <c r="F131">
        <v>106.7920074</v>
      </c>
      <c r="G131">
        <v>10.8911157</v>
      </c>
      <c r="H131">
        <v>106.8017043</v>
      </c>
      <c r="I131" t="s">
        <v>192</v>
      </c>
      <c r="J131" t="s">
        <v>185</v>
      </c>
      <c r="K131">
        <v>1110</v>
      </c>
      <c r="L131">
        <f t="shared" si="2"/>
        <v>1.1100000000000001</v>
      </c>
      <c r="M131" s="2">
        <v>196.40224122677677</v>
      </c>
      <c r="N131">
        <v>3.273370687112946</v>
      </c>
      <c r="O131" s="3">
        <v>20.346</v>
      </c>
    </row>
    <row r="132" spans="1:15" x14ac:dyDescent="0.3">
      <c r="A132">
        <v>39</v>
      </c>
      <c r="B132">
        <v>38</v>
      </c>
      <c r="C132" t="s">
        <v>196</v>
      </c>
      <c r="D132" t="s">
        <v>20</v>
      </c>
      <c r="E132">
        <v>10.8938656</v>
      </c>
      <c r="F132">
        <v>106.79264240000001</v>
      </c>
      <c r="G132">
        <v>10.893818400000001</v>
      </c>
      <c r="H132">
        <v>106.7920074</v>
      </c>
      <c r="I132" t="s">
        <v>192</v>
      </c>
      <c r="J132" t="s">
        <v>192</v>
      </c>
      <c r="K132">
        <v>65</v>
      </c>
      <c r="L132">
        <f t="shared" si="2"/>
        <v>6.5000000000000002E-2</v>
      </c>
      <c r="M132">
        <v>13</v>
      </c>
      <c r="N132">
        <v>0.2166666666666667</v>
      </c>
      <c r="O132" s="3">
        <v>18</v>
      </c>
    </row>
    <row r="133" spans="1:15" x14ac:dyDescent="0.3">
      <c r="A133">
        <v>39</v>
      </c>
      <c r="B133">
        <v>49</v>
      </c>
      <c r="C133" t="s">
        <v>197</v>
      </c>
      <c r="D133" t="s">
        <v>16</v>
      </c>
      <c r="E133">
        <v>10.8938656</v>
      </c>
      <c r="F133">
        <v>106.79264240000001</v>
      </c>
      <c r="G133">
        <v>10.8816676</v>
      </c>
      <c r="H133">
        <v>106.7823447</v>
      </c>
      <c r="I133" t="s">
        <v>192</v>
      </c>
      <c r="J133" t="s">
        <v>198</v>
      </c>
      <c r="K133">
        <v>2565</v>
      </c>
      <c r="L133">
        <f t="shared" si="2"/>
        <v>2.5649999999999999</v>
      </c>
      <c r="M133" s="2">
        <v>344.20546464382898</v>
      </c>
      <c r="N133">
        <v>5.7367577440638167</v>
      </c>
      <c r="O133" s="3">
        <v>26.827000000000002</v>
      </c>
    </row>
    <row r="134" spans="1:15" x14ac:dyDescent="0.3">
      <c r="A134">
        <v>39</v>
      </c>
      <c r="B134">
        <v>48</v>
      </c>
      <c r="C134" t="s">
        <v>199</v>
      </c>
      <c r="D134" t="s">
        <v>16</v>
      </c>
      <c r="E134">
        <v>10.8938656</v>
      </c>
      <c r="F134">
        <v>106.79264240000001</v>
      </c>
      <c r="G134">
        <v>10.8817308</v>
      </c>
      <c r="H134">
        <v>106.7831044</v>
      </c>
      <c r="I134" t="s">
        <v>192</v>
      </c>
      <c r="J134" t="s">
        <v>200</v>
      </c>
      <c r="K134">
        <v>2311</v>
      </c>
      <c r="L134">
        <f t="shared" si="2"/>
        <v>2.3109999999999999</v>
      </c>
      <c r="M134">
        <v>432</v>
      </c>
      <c r="N134">
        <v>7.2</v>
      </c>
      <c r="O134" s="3">
        <v>19.258333333333329</v>
      </c>
    </row>
    <row r="135" spans="1:15" x14ac:dyDescent="0.3">
      <c r="A135">
        <v>39</v>
      </c>
      <c r="B135">
        <v>47</v>
      </c>
      <c r="C135" t="s">
        <v>201</v>
      </c>
      <c r="D135" t="s">
        <v>16</v>
      </c>
      <c r="E135">
        <v>10.8938656</v>
      </c>
      <c r="F135">
        <v>106.79264240000001</v>
      </c>
      <c r="G135">
        <v>10.8797271</v>
      </c>
      <c r="H135">
        <v>106.78738679999999</v>
      </c>
      <c r="I135" t="s">
        <v>192</v>
      </c>
      <c r="J135" t="s">
        <v>202</v>
      </c>
      <c r="K135">
        <v>1975</v>
      </c>
      <c r="L135">
        <f t="shared" si="2"/>
        <v>1.9750000000000001</v>
      </c>
      <c r="M135">
        <v>379</v>
      </c>
      <c r="N135">
        <v>6.3166666666666664</v>
      </c>
      <c r="O135" s="3">
        <v>18.759894459102899</v>
      </c>
    </row>
    <row r="136" spans="1:15" x14ac:dyDescent="0.3">
      <c r="A136">
        <v>40</v>
      </c>
      <c r="B136">
        <v>41</v>
      </c>
      <c r="C136" t="s">
        <v>203</v>
      </c>
      <c r="D136" t="s">
        <v>20</v>
      </c>
      <c r="E136">
        <v>10.8876326</v>
      </c>
      <c r="F136">
        <v>106.8046342</v>
      </c>
      <c r="G136">
        <v>10.887394199999999</v>
      </c>
      <c r="H136">
        <v>106.8047072</v>
      </c>
      <c r="I136" t="s">
        <v>105</v>
      </c>
      <c r="J136" t="s">
        <v>37</v>
      </c>
      <c r="K136">
        <v>408</v>
      </c>
      <c r="L136">
        <f t="shared" si="2"/>
        <v>0.40799999999999997</v>
      </c>
      <c r="M136">
        <v>970</v>
      </c>
      <c r="N136">
        <v>16.166666666666671</v>
      </c>
      <c r="O136" s="3">
        <v>1.514226804123711</v>
      </c>
    </row>
    <row r="137" spans="1:15" x14ac:dyDescent="0.3">
      <c r="A137">
        <v>40</v>
      </c>
      <c r="B137">
        <v>42</v>
      </c>
      <c r="C137" t="s">
        <v>204</v>
      </c>
      <c r="D137" t="s">
        <v>16</v>
      </c>
      <c r="E137">
        <v>10.8876326</v>
      </c>
      <c r="F137">
        <v>106.8046342</v>
      </c>
      <c r="G137">
        <v>10.883092</v>
      </c>
      <c r="H137">
        <v>106.8</v>
      </c>
      <c r="I137" t="s">
        <v>105</v>
      </c>
      <c r="J137" t="s">
        <v>31</v>
      </c>
      <c r="K137">
        <v>744</v>
      </c>
      <c r="L137">
        <f t="shared" si="2"/>
        <v>0.74399999999999999</v>
      </c>
      <c r="M137">
        <v>103</v>
      </c>
      <c r="N137">
        <v>1.716666666666667</v>
      </c>
      <c r="O137" s="3">
        <v>26.003883495145629</v>
      </c>
    </row>
    <row r="138" spans="1:15" x14ac:dyDescent="0.3">
      <c r="A138">
        <v>40</v>
      </c>
      <c r="B138">
        <v>43</v>
      </c>
      <c r="C138" t="s">
        <v>205</v>
      </c>
      <c r="D138" t="s">
        <v>16</v>
      </c>
      <c r="E138">
        <v>10.8876326</v>
      </c>
      <c r="F138">
        <v>106.8046342</v>
      </c>
      <c r="G138">
        <v>10.885055700000001</v>
      </c>
      <c r="H138">
        <v>106.80008220000001</v>
      </c>
      <c r="I138" t="s">
        <v>105</v>
      </c>
      <c r="J138" t="s">
        <v>33</v>
      </c>
      <c r="K138">
        <v>878</v>
      </c>
      <c r="L138">
        <f t="shared" si="2"/>
        <v>0.878</v>
      </c>
      <c r="M138">
        <v>124</v>
      </c>
      <c r="N138">
        <v>2.0666666666666669</v>
      </c>
      <c r="O138" s="3">
        <v>25.490322580645159</v>
      </c>
    </row>
    <row r="139" spans="1:15" x14ac:dyDescent="0.3">
      <c r="A139">
        <v>40</v>
      </c>
      <c r="B139">
        <v>13</v>
      </c>
      <c r="C139" t="s">
        <v>206</v>
      </c>
      <c r="D139" t="s">
        <v>16</v>
      </c>
      <c r="E139">
        <v>10.8876326</v>
      </c>
      <c r="F139">
        <v>106.8046342</v>
      </c>
      <c r="G139">
        <v>10.8801103</v>
      </c>
      <c r="H139">
        <v>106.80718299999999</v>
      </c>
      <c r="I139" t="s">
        <v>105</v>
      </c>
      <c r="J139" t="s">
        <v>35</v>
      </c>
      <c r="K139">
        <v>1227</v>
      </c>
      <c r="L139">
        <f t="shared" si="2"/>
        <v>1.2270000000000001</v>
      </c>
      <c r="M139">
        <v>157</v>
      </c>
      <c r="N139">
        <v>2.6166666666666671</v>
      </c>
      <c r="O139" s="3">
        <v>28.13503184713376</v>
      </c>
    </row>
    <row r="140" spans="1:15" x14ac:dyDescent="0.3">
      <c r="A140">
        <v>40</v>
      </c>
      <c r="B140">
        <v>15</v>
      </c>
      <c r="C140" t="s">
        <v>207</v>
      </c>
      <c r="D140" t="s">
        <v>59</v>
      </c>
      <c r="E140">
        <v>10.8876326</v>
      </c>
      <c r="F140">
        <v>106.8046342</v>
      </c>
      <c r="G140">
        <v>10.880791</v>
      </c>
      <c r="H140">
        <v>106.81063399999999</v>
      </c>
      <c r="I140" t="s">
        <v>105</v>
      </c>
      <c r="J140" t="s">
        <v>39</v>
      </c>
      <c r="K140">
        <v>1240</v>
      </c>
      <c r="L140">
        <f t="shared" si="2"/>
        <v>1.24</v>
      </c>
      <c r="M140">
        <v>160</v>
      </c>
      <c r="N140">
        <v>2.666666666666667</v>
      </c>
      <c r="O140" s="3">
        <v>27.9</v>
      </c>
    </row>
    <row r="141" spans="1:15" x14ac:dyDescent="0.3">
      <c r="A141">
        <v>40</v>
      </c>
      <c r="B141">
        <v>1</v>
      </c>
      <c r="C141" t="s">
        <v>208</v>
      </c>
      <c r="D141" t="s">
        <v>16</v>
      </c>
      <c r="E141">
        <v>10.8876326</v>
      </c>
      <c r="F141">
        <v>106.8046342</v>
      </c>
      <c r="G141">
        <v>10.8771068</v>
      </c>
      <c r="H141">
        <v>106.8028618</v>
      </c>
      <c r="I141" t="s">
        <v>105</v>
      </c>
      <c r="J141" t="s">
        <v>17</v>
      </c>
      <c r="K141">
        <v>1406</v>
      </c>
      <c r="L141">
        <f t="shared" si="2"/>
        <v>1.4059999999999999</v>
      </c>
      <c r="M141" s="2">
        <v>267.37097881781204</v>
      </c>
      <c r="N141">
        <v>4.4561829802968678</v>
      </c>
      <c r="O141" s="3">
        <v>18.931000000000001</v>
      </c>
    </row>
    <row r="142" spans="1:15" x14ac:dyDescent="0.3">
      <c r="A142">
        <v>41</v>
      </c>
      <c r="B142">
        <v>79</v>
      </c>
      <c r="C142" t="s">
        <v>209</v>
      </c>
      <c r="D142" t="s">
        <v>16</v>
      </c>
      <c r="E142">
        <v>10.887394199999999</v>
      </c>
      <c r="F142">
        <v>106.8047072</v>
      </c>
      <c r="G142">
        <v>10.8892959</v>
      </c>
      <c r="H142">
        <v>106.8055626</v>
      </c>
      <c r="I142" t="s">
        <v>37</v>
      </c>
      <c r="J142" t="s">
        <v>103</v>
      </c>
      <c r="K142">
        <v>243</v>
      </c>
      <c r="L142">
        <f t="shared" si="2"/>
        <v>0.24299999999999999</v>
      </c>
      <c r="M142">
        <v>61</v>
      </c>
      <c r="N142">
        <v>1.0166666666666671</v>
      </c>
      <c r="O142" s="3">
        <v>14.340983606557369</v>
      </c>
    </row>
    <row r="143" spans="1:15" x14ac:dyDescent="0.3">
      <c r="A143">
        <v>41</v>
      </c>
      <c r="B143">
        <v>40</v>
      </c>
      <c r="C143" t="s">
        <v>210</v>
      </c>
      <c r="D143" t="s">
        <v>20</v>
      </c>
      <c r="E143">
        <v>10.887394199999999</v>
      </c>
      <c r="F143">
        <v>106.8047072</v>
      </c>
      <c r="G143">
        <v>10.8876326</v>
      </c>
      <c r="H143">
        <v>106.8046342</v>
      </c>
      <c r="I143" t="s">
        <v>37</v>
      </c>
      <c r="J143" t="s">
        <v>105</v>
      </c>
      <c r="K143">
        <v>127</v>
      </c>
      <c r="L143">
        <f t="shared" si="2"/>
        <v>0.127</v>
      </c>
      <c r="M143">
        <v>61</v>
      </c>
      <c r="N143">
        <v>1.0166666666666671</v>
      </c>
      <c r="O143" s="3">
        <v>7.4950819672131139</v>
      </c>
    </row>
    <row r="144" spans="1:15" x14ac:dyDescent="0.3">
      <c r="A144">
        <v>41</v>
      </c>
      <c r="B144">
        <v>15</v>
      </c>
      <c r="C144" t="s">
        <v>211</v>
      </c>
      <c r="D144" t="s">
        <v>59</v>
      </c>
      <c r="E144">
        <v>10.887394199999999</v>
      </c>
      <c r="F144">
        <v>106.8047072</v>
      </c>
      <c r="G144">
        <v>10.880791</v>
      </c>
      <c r="H144">
        <v>106.81063399999999</v>
      </c>
      <c r="I144" t="s">
        <v>37</v>
      </c>
      <c r="J144" t="s">
        <v>39</v>
      </c>
      <c r="K144">
        <v>1589</v>
      </c>
      <c r="L144">
        <f t="shared" si="2"/>
        <v>1.589</v>
      </c>
      <c r="M144">
        <v>213</v>
      </c>
      <c r="N144">
        <v>3.55</v>
      </c>
      <c r="O144" s="3">
        <v>26.856338028169009</v>
      </c>
    </row>
    <row r="145" spans="1:15" x14ac:dyDescent="0.3">
      <c r="A145">
        <v>41</v>
      </c>
      <c r="B145">
        <v>35</v>
      </c>
      <c r="C145" t="s">
        <v>212</v>
      </c>
      <c r="D145" t="s">
        <v>59</v>
      </c>
      <c r="E145">
        <v>10.887394199999999</v>
      </c>
      <c r="F145">
        <v>106.8047072</v>
      </c>
      <c r="G145">
        <v>10.8809737</v>
      </c>
      <c r="H145">
        <v>106.8142454</v>
      </c>
      <c r="I145" t="s">
        <v>37</v>
      </c>
      <c r="J145" t="s">
        <v>41</v>
      </c>
      <c r="K145">
        <v>1597</v>
      </c>
      <c r="L145">
        <f t="shared" si="2"/>
        <v>1.597</v>
      </c>
      <c r="M145" s="2">
        <v>223.40003885758696</v>
      </c>
      <c r="N145">
        <v>3.7233339809597825</v>
      </c>
      <c r="O145" s="3">
        <v>25.734999999999999</v>
      </c>
    </row>
    <row r="146" spans="1:15" x14ac:dyDescent="0.3">
      <c r="A146">
        <v>42</v>
      </c>
      <c r="B146">
        <v>65</v>
      </c>
      <c r="C146" t="s">
        <v>213</v>
      </c>
      <c r="D146" t="s">
        <v>16</v>
      </c>
      <c r="E146">
        <v>10.883092</v>
      </c>
      <c r="F146">
        <v>106.8</v>
      </c>
      <c r="G146">
        <v>10.8809022</v>
      </c>
      <c r="H146">
        <v>106.7955379</v>
      </c>
      <c r="I146" t="s">
        <v>31</v>
      </c>
      <c r="J146" t="s">
        <v>48</v>
      </c>
      <c r="K146">
        <v>548</v>
      </c>
      <c r="L146">
        <f t="shared" si="2"/>
        <v>0.54800000000000004</v>
      </c>
      <c r="M146">
        <v>60</v>
      </c>
      <c r="N146">
        <v>1</v>
      </c>
      <c r="O146" s="3">
        <v>32.880000000000003</v>
      </c>
    </row>
    <row r="147" spans="1:15" x14ac:dyDescent="0.3">
      <c r="A147">
        <v>42</v>
      </c>
      <c r="B147">
        <v>1</v>
      </c>
      <c r="C147" t="s">
        <v>214</v>
      </c>
      <c r="D147" t="s">
        <v>16</v>
      </c>
      <c r="E147">
        <v>10.883092</v>
      </c>
      <c r="F147">
        <v>106.8</v>
      </c>
      <c r="G147">
        <v>10.8771068</v>
      </c>
      <c r="H147">
        <v>106.8028618</v>
      </c>
      <c r="I147" t="s">
        <v>31</v>
      </c>
      <c r="J147" t="s">
        <v>17</v>
      </c>
      <c r="K147">
        <v>1357</v>
      </c>
      <c r="L147">
        <f t="shared" si="2"/>
        <v>1.357</v>
      </c>
      <c r="M147" s="2">
        <v>171.21828122809478</v>
      </c>
      <c r="N147">
        <v>2.8536380204682463</v>
      </c>
      <c r="O147" s="3">
        <v>28.532</v>
      </c>
    </row>
    <row r="148" spans="1:15" x14ac:dyDescent="0.3">
      <c r="A148">
        <v>42</v>
      </c>
      <c r="B148">
        <v>4</v>
      </c>
      <c r="C148" t="s">
        <v>215</v>
      </c>
      <c r="D148" t="s">
        <v>16</v>
      </c>
      <c r="E148">
        <v>10.883092</v>
      </c>
      <c r="F148">
        <v>106.8</v>
      </c>
      <c r="G148">
        <v>10.876407499999999</v>
      </c>
      <c r="H148">
        <v>106.8024855</v>
      </c>
      <c r="I148" t="s">
        <v>31</v>
      </c>
      <c r="J148" t="s">
        <v>43</v>
      </c>
      <c r="K148">
        <v>1399</v>
      </c>
      <c r="L148">
        <f t="shared" si="2"/>
        <v>1.399</v>
      </c>
      <c r="M148">
        <v>168</v>
      </c>
      <c r="N148">
        <v>2.8</v>
      </c>
      <c r="O148" s="3">
        <v>29.978571428571431</v>
      </c>
    </row>
    <row r="149" spans="1:15" x14ac:dyDescent="0.3">
      <c r="A149">
        <v>44</v>
      </c>
      <c r="B149">
        <v>45</v>
      </c>
      <c r="C149" t="s">
        <v>216</v>
      </c>
      <c r="D149" t="s">
        <v>16</v>
      </c>
      <c r="E149">
        <v>10.8870881</v>
      </c>
      <c r="F149">
        <v>106.799471</v>
      </c>
      <c r="G149">
        <v>10.888683800000001</v>
      </c>
      <c r="H149">
        <v>106.79883820000001</v>
      </c>
      <c r="I149" t="s">
        <v>217</v>
      </c>
      <c r="J149" t="s">
        <v>33</v>
      </c>
      <c r="K149">
        <v>188</v>
      </c>
      <c r="L149">
        <f t="shared" si="2"/>
        <v>0.188</v>
      </c>
      <c r="M149">
        <v>23</v>
      </c>
      <c r="N149">
        <v>0.38333333333333341</v>
      </c>
      <c r="O149" s="3">
        <v>29.42608695652174</v>
      </c>
    </row>
    <row r="150" spans="1:15" x14ac:dyDescent="0.3">
      <c r="A150">
        <v>44</v>
      </c>
      <c r="B150">
        <v>36</v>
      </c>
      <c r="C150" t="s">
        <v>218</v>
      </c>
      <c r="D150" t="s">
        <v>59</v>
      </c>
      <c r="E150">
        <v>10.8870881</v>
      </c>
      <c r="F150">
        <v>106.799471</v>
      </c>
      <c r="G150">
        <v>10.8911157</v>
      </c>
      <c r="H150">
        <v>106.8017043</v>
      </c>
      <c r="I150" t="s">
        <v>217</v>
      </c>
      <c r="J150" t="s">
        <v>185</v>
      </c>
      <c r="K150">
        <v>928</v>
      </c>
      <c r="L150">
        <f t="shared" si="2"/>
        <v>0.92800000000000005</v>
      </c>
      <c r="M150" s="2">
        <v>142.34341712824883</v>
      </c>
      <c r="N150">
        <v>2.3723902854708139</v>
      </c>
      <c r="O150" s="3">
        <v>23.47</v>
      </c>
    </row>
    <row r="151" spans="1:15" x14ac:dyDescent="0.3">
      <c r="A151">
        <v>44</v>
      </c>
      <c r="B151">
        <v>39</v>
      </c>
      <c r="C151" t="s">
        <v>219</v>
      </c>
      <c r="D151" t="s">
        <v>59</v>
      </c>
      <c r="E151">
        <v>10.8870881</v>
      </c>
      <c r="F151">
        <v>106.799471</v>
      </c>
      <c r="G151">
        <v>10.8938656</v>
      </c>
      <c r="H151">
        <v>106.79264240000001</v>
      </c>
      <c r="I151" t="s">
        <v>217</v>
      </c>
      <c r="J151" t="s">
        <v>192</v>
      </c>
      <c r="K151">
        <v>1233</v>
      </c>
      <c r="L151">
        <f t="shared" si="2"/>
        <v>1.2330000000000001</v>
      </c>
      <c r="M151" s="2">
        <v>222.03991796308341</v>
      </c>
      <c r="N151">
        <v>3.7006652993847235</v>
      </c>
      <c r="O151" s="3">
        <v>19.991</v>
      </c>
    </row>
    <row r="152" spans="1:15" x14ac:dyDescent="0.3">
      <c r="A152">
        <v>45</v>
      </c>
      <c r="B152">
        <v>42</v>
      </c>
      <c r="C152" t="s">
        <v>220</v>
      </c>
      <c r="D152" t="s">
        <v>16</v>
      </c>
      <c r="E152">
        <v>10.888683800000001</v>
      </c>
      <c r="F152">
        <v>106.79883820000001</v>
      </c>
      <c r="G152">
        <v>10.883092</v>
      </c>
      <c r="H152">
        <v>106.8</v>
      </c>
      <c r="I152" t="s">
        <v>33</v>
      </c>
      <c r="J152" t="s">
        <v>31</v>
      </c>
      <c r="K152">
        <v>700</v>
      </c>
      <c r="L152">
        <f t="shared" si="2"/>
        <v>0.7</v>
      </c>
      <c r="M152" s="2">
        <v>120.88070225931787</v>
      </c>
      <c r="N152">
        <v>2.0146783709886313</v>
      </c>
      <c r="O152" s="3">
        <v>20.847000000000001</v>
      </c>
    </row>
    <row r="153" spans="1:15" x14ac:dyDescent="0.3">
      <c r="A153">
        <v>45</v>
      </c>
      <c r="B153">
        <v>43</v>
      </c>
      <c r="C153" t="s">
        <v>221</v>
      </c>
      <c r="D153" t="s">
        <v>20</v>
      </c>
      <c r="E153">
        <v>10.888683800000001</v>
      </c>
      <c r="F153">
        <v>106.79883820000001</v>
      </c>
      <c r="G153">
        <v>10.885055700000001</v>
      </c>
      <c r="H153">
        <v>106.80008220000001</v>
      </c>
      <c r="I153" t="s">
        <v>33</v>
      </c>
      <c r="J153" t="s">
        <v>33</v>
      </c>
      <c r="K153">
        <f>896+480</f>
        <v>1376</v>
      </c>
      <c r="L153">
        <f t="shared" si="2"/>
        <v>1.3759999999999999</v>
      </c>
      <c r="M153" s="2">
        <v>157.7579617834395</v>
      </c>
      <c r="N153">
        <v>2.6292993630573251</v>
      </c>
      <c r="O153" s="3">
        <v>31.4</v>
      </c>
    </row>
    <row r="154" spans="1:15" x14ac:dyDescent="0.3">
      <c r="A154">
        <v>45</v>
      </c>
      <c r="B154">
        <v>41</v>
      </c>
      <c r="C154" t="s">
        <v>222</v>
      </c>
      <c r="D154" t="s">
        <v>59</v>
      </c>
      <c r="E154">
        <v>10.888683800000001</v>
      </c>
      <c r="F154">
        <v>106.79883820000001</v>
      </c>
      <c r="G154">
        <v>10.887394199999999</v>
      </c>
      <c r="H154">
        <v>106.8047072</v>
      </c>
      <c r="I154" t="s">
        <v>33</v>
      </c>
      <c r="J154" t="s">
        <v>37</v>
      </c>
      <c r="K154">
        <f>633+674</f>
        <v>1307</v>
      </c>
      <c r="L154">
        <f t="shared" si="2"/>
        <v>1.3069999999999999</v>
      </c>
      <c r="M154" s="2">
        <v>124.87923987472797</v>
      </c>
      <c r="N154">
        <v>2.0813206645787994</v>
      </c>
      <c r="O154" s="3">
        <v>37.677999999999997</v>
      </c>
    </row>
    <row r="155" spans="1:15" x14ac:dyDescent="0.3">
      <c r="A155">
        <v>45</v>
      </c>
      <c r="B155">
        <v>1</v>
      </c>
      <c r="C155" t="s">
        <v>223</v>
      </c>
      <c r="D155" t="s">
        <v>59</v>
      </c>
      <c r="E155">
        <v>10.888683800000001</v>
      </c>
      <c r="F155">
        <v>106.79883820000001</v>
      </c>
      <c r="G155">
        <v>10.8771068</v>
      </c>
      <c r="H155">
        <v>106.8028618</v>
      </c>
      <c r="I155" t="s">
        <v>33</v>
      </c>
      <c r="J155" t="s">
        <v>17</v>
      </c>
      <c r="K155">
        <v>1360</v>
      </c>
      <c r="L155">
        <f t="shared" si="2"/>
        <v>1.36</v>
      </c>
      <c r="M155" s="2">
        <v>170.69344210856607</v>
      </c>
      <c r="N155">
        <v>2.8448907018094345</v>
      </c>
      <c r="O155" s="3">
        <v>28.683</v>
      </c>
    </row>
    <row r="156" spans="1:15" x14ac:dyDescent="0.3">
      <c r="A156">
        <v>45</v>
      </c>
      <c r="B156">
        <v>13</v>
      </c>
      <c r="C156" t="s">
        <v>224</v>
      </c>
      <c r="D156" t="s">
        <v>59</v>
      </c>
      <c r="E156">
        <v>10.888683800000001</v>
      </c>
      <c r="F156">
        <v>106.79883820000001</v>
      </c>
      <c r="G156">
        <v>10.8801103</v>
      </c>
      <c r="H156">
        <v>106.80718299999999</v>
      </c>
      <c r="I156" t="s">
        <v>33</v>
      </c>
      <c r="J156" t="s">
        <v>35</v>
      </c>
      <c r="K156">
        <f>633+487+676+338</f>
        <v>2134</v>
      </c>
      <c r="L156">
        <f t="shared" si="2"/>
        <v>2.1339999999999999</v>
      </c>
      <c r="M156" s="2">
        <v>279.65490881292999</v>
      </c>
      <c r="N156">
        <v>4.6609151468821661</v>
      </c>
      <c r="O156" s="3">
        <v>27.471</v>
      </c>
    </row>
    <row r="157" spans="1:15" x14ac:dyDescent="0.3">
      <c r="A157">
        <v>45</v>
      </c>
      <c r="B157">
        <v>15</v>
      </c>
      <c r="C157" t="s">
        <v>225</v>
      </c>
      <c r="D157" t="s">
        <v>59</v>
      </c>
      <c r="E157">
        <v>10.888683800000001</v>
      </c>
      <c r="F157">
        <v>106.79883820000001</v>
      </c>
      <c r="G157">
        <v>10.880791</v>
      </c>
      <c r="H157">
        <v>106.81063399999999</v>
      </c>
      <c r="I157" t="s">
        <v>33</v>
      </c>
      <c r="J157" t="s">
        <v>39</v>
      </c>
      <c r="K157">
        <f>633+487+954+66</f>
        <v>2140</v>
      </c>
      <c r="L157">
        <f t="shared" si="2"/>
        <v>2.14</v>
      </c>
      <c r="M157" s="2">
        <v>200.34847736197435</v>
      </c>
      <c r="N157">
        <v>3.3391412893662391</v>
      </c>
      <c r="O157" s="3">
        <v>38.453000000000003</v>
      </c>
    </row>
    <row r="158" spans="1:15" x14ac:dyDescent="0.3">
      <c r="A158">
        <v>46</v>
      </c>
      <c r="B158">
        <v>47</v>
      </c>
      <c r="C158" t="s">
        <v>226</v>
      </c>
      <c r="D158" t="s">
        <v>20</v>
      </c>
      <c r="E158">
        <v>10.8799484</v>
      </c>
      <c r="F158">
        <v>106.78739659999999</v>
      </c>
      <c r="G158">
        <v>10.8797271</v>
      </c>
      <c r="H158">
        <v>106.78738679999999</v>
      </c>
      <c r="I158" t="s">
        <v>227</v>
      </c>
      <c r="J158" t="s">
        <v>202</v>
      </c>
      <c r="K158">
        <v>601</v>
      </c>
      <c r="L158">
        <f t="shared" si="2"/>
        <v>0.60099999999999998</v>
      </c>
      <c r="M158">
        <v>99</v>
      </c>
      <c r="N158">
        <v>1.65</v>
      </c>
      <c r="O158" s="3">
        <v>21.854545454545459</v>
      </c>
    </row>
    <row r="159" spans="1:15" x14ac:dyDescent="0.3">
      <c r="A159">
        <v>46</v>
      </c>
      <c r="B159">
        <v>48</v>
      </c>
      <c r="C159" t="s">
        <v>228</v>
      </c>
      <c r="D159" t="s">
        <v>16</v>
      </c>
      <c r="E159">
        <v>10.8799484</v>
      </c>
      <c r="F159">
        <v>106.78739659999999</v>
      </c>
      <c r="G159">
        <v>10.8817308</v>
      </c>
      <c r="H159">
        <v>106.7831044</v>
      </c>
      <c r="I159" t="s">
        <v>227</v>
      </c>
      <c r="J159" t="s">
        <v>200</v>
      </c>
      <c r="K159">
        <v>528</v>
      </c>
      <c r="L159">
        <f t="shared" si="2"/>
        <v>0.52800000000000002</v>
      </c>
      <c r="M159">
        <v>76</v>
      </c>
      <c r="N159">
        <v>1.2666666666666671</v>
      </c>
      <c r="O159" s="3">
        <v>25.01052631578947</v>
      </c>
    </row>
    <row r="160" spans="1:15" x14ac:dyDescent="0.3">
      <c r="A160">
        <v>46</v>
      </c>
      <c r="B160">
        <v>60</v>
      </c>
      <c r="C160" t="s">
        <v>229</v>
      </c>
      <c r="D160" t="s">
        <v>16</v>
      </c>
      <c r="E160">
        <v>10.8799484</v>
      </c>
      <c r="F160">
        <v>106.78739659999999</v>
      </c>
      <c r="G160">
        <v>10.8726381</v>
      </c>
      <c r="H160">
        <v>106.7793856</v>
      </c>
      <c r="I160" t="s">
        <v>227</v>
      </c>
      <c r="J160" t="s">
        <v>230</v>
      </c>
      <c r="K160">
        <f>291+1270</f>
        <v>1561</v>
      </c>
      <c r="L160">
        <f t="shared" si="2"/>
        <v>1.5609999999999999</v>
      </c>
      <c r="M160" s="2">
        <v>148.29005699810006</v>
      </c>
      <c r="N160">
        <v>2.4715009499683345</v>
      </c>
      <c r="O160" s="3">
        <v>37.896000000000001</v>
      </c>
    </row>
    <row r="161" spans="1:15" x14ac:dyDescent="0.3">
      <c r="A161">
        <v>46</v>
      </c>
      <c r="B161">
        <v>82</v>
      </c>
      <c r="C161" t="s">
        <v>231</v>
      </c>
      <c r="D161" t="s">
        <v>16</v>
      </c>
      <c r="E161">
        <v>10.8799484</v>
      </c>
      <c r="F161">
        <v>106.78739659999999</v>
      </c>
      <c r="G161">
        <v>10.885494</v>
      </c>
      <c r="H161">
        <v>106.772271</v>
      </c>
      <c r="I161" t="s">
        <v>227</v>
      </c>
      <c r="J161" t="s">
        <v>232</v>
      </c>
      <c r="K161">
        <f>291+215+45+47+961+1430</f>
        <v>2989</v>
      </c>
      <c r="L161">
        <f t="shared" si="2"/>
        <v>2.9889999999999999</v>
      </c>
      <c r="M161" s="2">
        <v>289.74876807496565</v>
      </c>
      <c r="N161">
        <v>4.8291461345827607</v>
      </c>
      <c r="O161" s="3">
        <v>37.137</v>
      </c>
    </row>
    <row r="162" spans="1:15" x14ac:dyDescent="0.3">
      <c r="A162">
        <v>46</v>
      </c>
      <c r="B162">
        <v>38</v>
      </c>
      <c r="C162" t="s">
        <v>233</v>
      </c>
      <c r="D162" t="s">
        <v>59</v>
      </c>
      <c r="E162">
        <v>10.8799484</v>
      </c>
      <c r="F162">
        <v>106.78739659999999</v>
      </c>
      <c r="G162">
        <v>10.893818400000001</v>
      </c>
      <c r="H162">
        <v>106.7920074</v>
      </c>
      <c r="I162" t="s">
        <v>227</v>
      </c>
      <c r="J162" t="s">
        <v>192</v>
      </c>
      <c r="K162">
        <v>1983</v>
      </c>
      <c r="L162">
        <f t="shared" si="2"/>
        <v>1.9830000000000001</v>
      </c>
      <c r="M162">
        <v>366</v>
      </c>
      <c r="N162">
        <v>6.1</v>
      </c>
      <c r="O162" s="3">
        <v>19.50491803278689</v>
      </c>
    </row>
    <row r="163" spans="1:15" x14ac:dyDescent="0.3">
      <c r="A163">
        <v>47</v>
      </c>
      <c r="B163">
        <v>64</v>
      </c>
      <c r="C163" t="s">
        <v>234</v>
      </c>
      <c r="D163" t="s">
        <v>16</v>
      </c>
      <c r="E163">
        <v>10.8797271</v>
      </c>
      <c r="F163">
        <v>106.78738679999999</v>
      </c>
      <c r="G163">
        <v>10.880685</v>
      </c>
      <c r="H163">
        <v>106.79552099999999</v>
      </c>
      <c r="I163" t="s">
        <v>202</v>
      </c>
      <c r="J163" t="s">
        <v>235</v>
      </c>
      <c r="K163">
        <v>899</v>
      </c>
      <c r="L163">
        <f t="shared" si="2"/>
        <v>0.89900000000000002</v>
      </c>
      <c r="M163">
        <v>92</v>
      </c>
      <c r="N163">
        <v>1.533333333333333</v>
      </c>
      <c r="O163" s="3">
        <v>35.178260869565207</v>
      </c>
    </row>
    <row r="164" spans="1:15" x14ac:dyDescent="0.3">
      <c r="A164">
        <v>48</v>
      </c>
      <c r="B164">
        <v>49</v>
      </c>
      <c r="C164" t="s">
        <v>236</v>
      </c>
      <c r="D164" t="s">
        <v>20</v>
      </c>
      <c r="E164">
        <v>10.8817308</v>
      </c>
      <c r="F164">
        <v>106.7831044</v>
      </c>
      <c r="G164">
        <v>10.8816676</v>
      </c>
      <c r="H164">
        <v>106.7823447</v>
      </c>
      <c r="I164" t="s">
        <v>200</v>
      </c>
      <c r="J164" t="s">
        <v>198</v>
      </c>
      <c r="K164">
        <v>1581</v>
      </c>
      <c r="L164">
        <f t="shared" si="2"/>
        <v>1.581</v>
      </c>
      <c r="M164">
        <v>323</v>
      </c>
      <c r="N164">
        <v>5.3833333333333337</v>
      </c>
      <c r="O164" s="3">
        <v>17.621052631578952</v>
      </c>
    </row>
    <row r="165" spans="1:15" x14ac:dyDescent="0.3">
      <c r="A165">
        <v>48</v>
      </c>
      <c r="B165">
        <v>47</v>
      </c>
      <c r="C165" t="s">
        <v>237</v>
      </c>
      <c r="D165" t="s">
        <v>59</v>
      </c>
      <c r="E165">
        <v>10.8817308</v>
      </c>
      <c r="F165">
        <v>106.7831044</v>
      </c>
      <c r="G165">
        <v>10.8797271</v>
      </c>
      <c r="H165">
        <v>106.78738679999999</v>
      </c>
      <c r="I165" t="s">
        <v>200</v>
      </c>
      <c r="J165" t="s">
        <v>202</v>
      </c>
      <c r="K165">
        <v>664</v>
      </c>
      <c r="L165">
        <f t="shared" si="2"/>
        <v>0.66400000000000003</v>
      </c>
      <c r="M165">
        <v>125</v>
      </c>
      <c r="N165">
        <v>2.083333333333333</v>
      </c>
      <c r="O165" s="3">
        <v>19.123200000000001</v>
      </c>
    </row>
    <row r="166" spans="1:15" x14ac:dyDescent="0.3">
      <c r="A166">
        <v>48</v>
      </c>
      <c r="B166">
        <v>50</v>
      </c>
      <c r="C166" t="s">
        <v>238</v>
      </c>
      <c r="D166" t="s">
        <v>16</v>
      </c>
      <c r="E166">
        <v>10.8817308</v>
      </c>
      <c r="F166">
        <v>106.7831044</v>
      </c>
      <c r="G166">
        <v>10.883162199999999</v>
      </c>
      <c r="H166">
        <v>106.779234</v>
      </c>
      <c r="I166" t="s">
        <v>200</v>
      </c>
      <c r="J166" t="s">
        <v>239</v>
      </c>
      <c r="K166">
        <v>632</v>
      </c>
      <c r="L166">
        <f t="shared" si="2"/>
        <v>0.63200000000000001</v>
      </c>
      <c r="M166" s="2">
        <v>101.07507774322522</v>
      </c>
      <c r="N166">
        <v>1.6845846290537536</v>
      </c>
      <c r="O166" s="3">
        <v>22.51</v>
      </c>
    </row>
    <row r="167" spans="1:15" x14ac:dyDescent="0.3">
      <c r="A167">
        <v>48</v>
      </c>
      <c r="B167">
        <v>82</v>
      </c>
      <c r="C167" t="s">
        <v>240</v>
      </c>
      <c r="D167" t="s">
        <v>16</v>
      </c>
      <c r="E167">
        <v>10.8817308</v>
      </c>
      <c r="F167">
        <v>106.7831044</v>
      </c>
      <c r="G167">
        <v>10.885494</v>
      </c>
      <c r="H167">
        <v>106.772271</v>
      </c>
      <c r="I167" t="s">
        <v>200</v>
      </c>
      <c r="J167" t="s">
        <v>232</v>
      </c>
      <c r="K167">
        <v>2856</v>
      </c>
      <c r="L167">
        <f t="shared" si="2"/>
        <v>2.8559999999999999</v>
      </c>
      <c r="M167" s="2">
        <v>269.4975230007077</v>
      </c>
      <c r="N167">
        <v>4.4916253833451281</v>
      </c>
      <c r="O167" s="3">
        <v>38.151000000000003</v>
      </c>
    </row>
    <row r="168" spans="1:15" x14ac:dyDescent="0.3">
      <c r="A168">
        <v>48</v>
      </c>
      <c r="B168">
        <v>38</v>
      </c>
      <c r="C168" t="s">
        <v>241</v>
      </c>
      <c r="D168" t="s">
        <v>59</v>
      </c>
      <c r="E168">
        <v>10.8817308</v>
      </c>
      <c r="F168">
        <v>106.7831044</v>
      </c>
      <c r="G168">
        <v>10.893818400000001</v>
      </c>
      <c r="H168">
        <v>106.7920074</v>
      </c>
      <c r="I168" t="s">
        <v>200</v>
      </c>
      <c r="J168" t="s">
        <v>192</v>
      </c>
      <c r="K168">
        <v>2227</v>
      </c>
      <c r="L168">
        <f t="shared" si="2"/>
        <v>2.2269999999999999</v>
      </c>
      <c r="M168">
        <v>480</v>
      </c>
      <c r="N168">
        <v>8</v>
      </c>
      <c r="O168" s="3">
        <v>16.702500000000001</v>
      </c>
    </row>
    <row r="169" spans="1:15" x14ac:dyDescent="0.3">
      <c r="A169">
        <v>49</v>
      </c>
      <c r="B169">
        <v>47</v>
      </c>
      <c r="C169" t="s">
        <v>242</v>
      </c>
      <c r="D169" t="s">
        <v>59</v>
      </c>
      <c r="E169">
        <v>10.8816676</v>
      </c>
      <c r="F169">
        <v>106.7823447</v>
      </c>
      <c r="G169">
        <v>10.8797271</v>
      </c>
      <c r="H169">
        <v>106.78738679999999</v>
      </c>
      <c r="I169" t="s">
        <v>198</v>
      </c>
      <c r="J169" t="s">
        <v>202</v>
      </c>
      <c r="K169">
        <v>628</v>
      </c>
      <c r="L169">
        <f t="shared" si="2"/>
        <v>0.628</v>
      </c>
      <c r="M169">
        <v>94</v>
      </c>
      <c r="N169">
        <v>1.5666666666666671</v>
      </c>
      <c r="O169" s="3">
        <v>24.051063829787228</v>
      </c>
    </row>
    <row r="170" spans="1:15" x14ac:dyDescent="0.3">
      <c r="A170">
        <v>49</v>
      </c>
      <c r="B170">
        <v>60</v>
      </c>
      <c r="C170" t="s">
        <v>243</v>
      </c>
      <c r="D170" t="s">
        <v>16</v>
      </c>
      <c r="E170">
        <v>10.8816676</v>
      </c>
      <c r="F170">
        <v>106.7823447</v>
      </c>
      <c r="G170">
        <v>10.8726381</v>
      </c>
      <c r="H170">
        <v>106.7793856</v>
      </c>
      <c r="I170" t="s">
        <v>198</v>
      </c>
      <c r="J170" t="s">
        <v>230</v>
      </c>
      <c r="K170">
        <v>1290</v>
      </c>
      <c r="L170">
        <f t="shared" si="2"/>
        <v>1.29</v>
      </c>
      <c r="M170">
        <v>272</v>
      </c>
      <c r="N170">
        <v>4.5333333333333332</v>
      </c>
      <c r="O170" s="3">
        <v>17.07352941176471</v>
      </c>
    </row>
    <row r="171" spans="1:15" x14ac:dyDescent="0.3">
      <c r="A171">
        <v>49</v>
      </c>
      <c r="B171">
        <v>82</v>
      </c>
      <c r="C171" t="s">
        <v>244</v>
      </c>
      <c r="D171" t="s">
        <v>16</v>
      </c>
      <c r="E171">
        <v>10.8816676</v>
      </c>
      <c r="F171">
        <v>106.7823447</v>
      </c>
      <c r="G171">
        <v>10.885494</v>
      </c>
      <c r="H171">
        <v>106.772271</v>
      </c>
      <c r="I171" t="s">
        <v>198</v>
      </c>
      <c r="J171" t="s">
        <v>232</v>
      </c>
      <c r="K171">
        <v>2855</v>
      </c>
      <c r="L171">
        <f t="shared" si="2"/>
        <v>2.855</v>
      </c>
      <c r="M171" s="2">
        <v>309.26159956670881</v>
      </c>
      <c r="N171">
        <v>5.1543599927784802</v>
      </c>
      <c r="O171" s="3">
        <v>33.234000000000002</v>
      </c>
    </row>
    <row r="172" spans="1:15" x14ac:dyDescent="0.3">
      <c r="A172">
        <v>49</v>
      </c>
      <c r="B172">
        <v>38</v>
      </c>
      <c r="C172" t="s">
        <v>245</v>
      </c>
      <c r="D172" t="s">
        <v>16</v>
      </c>
      <c r="E172">
        <v>10.8816676</v>
      </c>
      <c r="F172">
        <v>106.7823447</v>
      </c>
      <c r="G172">
        <v>10.893818400000001</v>
      </c>
      <c r="H172">
        <v>106.7920074</v>
      </c>
      <c r="I172" t="s">
        <v>198</v>
      </c>
      <c r="J172" t="s">
        <v>192</v>
      </c>
      <c r="K172">
        <v>2441</v>
      </c>
      <c r="L172">
        <f t="shared" si="2"/>
        <v>2.4409999999999998</v>
      </c>
      <c r="M172">
        <v>448</v>
      </c>
      <c r="N172">
        <v>7.4666666666666668</v>
      </c>
      <c r="O172" s="3">
        <v>19.615178571428569</v>
      </c>
    </row>
    <row r="173" spans="1:15" x14ac:dyDescent="0.3">
      <c r="A173">
        <v>50</v>
      </c>
      <c r="B173">
        <v>51</v>
      </c>
      <c r="C173" t="s">
        <v>246</v>
      </c>
      <c r="D173" t="s">
        <v>20</v>
      </c>
      <c r="E173">
        <v>10.883162199999999</v>
      </c>
      <c r="F173">
        <v>106.779234</v>
      </c>
      <c r="G173">
        <v>10.883506799999999</v>
      </c>
      <c r="H173">
        <v>106.778599</v>
      </c>
      <c r="I173" t="s">
        <v>239</v>
      </c>
      <c r="J173" t="s">
        <v>247</v>
      </c>
      <c r="K173">
        <v>77</v>
      </c>
      <c r="L173">
        <f t="shared" si="2"/>
        <v>7.6999999999999999E-2</v>
      </c>
      <c r="M173">
        <v>25</v>
      </c>
      <c r="N173">
        <v>0.41666666666666669</v>
      </c>
      <c r="O173" s="3">
        <v>11.087999999999999</v>
      </c>
    </row>
    <row r="174" spans="1:15" x14ac:dyDescent="0.3">
      <c r="A174">
        <v>51</v>
      </c>
      <c r="B174">
        <v>50</v>
      </c>
      <c r="C174" t="s">
        <v>248</v>
      </c>
      <c r="D174" t="s">
        <v>20</v>
      </c>
      <c r="E174">
        <v>10.883506799999999</v>
      </c>
      <c r="F174">
        <v>106.778599</v>
      </c>
      <c r="G174">
        <v>10.883162199999999</v>
      </c>
      <c r="H174">
        <v>106.779234</v>
      </c>
      <c r="I174" t="s">
        <v>247</v>
      </c>
      <c r="J174" t="s">
        <v>239</v>
      </c>
      <c r="K174">
        <v>77</v>
      </c>
      <c r="L174">
        <f t="shared" si="2"/>
        <v>7.6999999999999999E-2</v>
      </c>
      <c r="M174">
        <v>23</v>
      </c>
      <c r="N174">
        <v>0.38333333333333341</v>
      </c>
      <c r="O174" s="3">
        <v>12.052173913043481</v>
      </c>
    </row>
    <row r="175" spans="1:15" x14ac:dyDescent="0.3">
      <c r="A175">
        <v>51</v>
      </c>
      <c r="B175">
        <v>49</v>
      </c>
      <c r="C175" t="s">
        <v>249</v>
      </c>
      <c r="D175" t="s">
        <v>59</v>
      </c>
      <c r="E175">
        <v>10.883506799999999</v>
      </c>
      <c r="F175">
        <v>106.778599</v>
      </c>
      <c r="G175">
        <v>10.8816676</v>
      </c>
      <c r="H175">
        <v>106.7823447</v>
      </c>
      <c r="I175" t="s">
        <v>247</v>
      </c>
      <c r="J175" t="s">
        <v>198</v>
      </c>
      <c r="K175">
        <v>590</v>
      </c>
      <c r="L175">
        <f t="shared" si="2"/>
        <v>0.59</v>
      </c>
      <c r="M175" s="2">
        <v>98.896493923732365</v>
      </c>
      <c r="N175">
        <v>1.6482748987288727</v>
      </c>
      <c r="O175" s="3">
        <v>21.477</v>
      </c>
    </row>
    <row r="176" spans="1:15" x14ac:dyDescent="0.3">
      <c r="A176">
        <v>52</v>
      </c>
      <c r="B176">
        <v>53</v>
      </c>
      <c r="C176" t="s">
        <v>250</v>
      </c>
      <c r="D176" t="s">
        <v>16</v>
      </c>
      <c r="E176">
        <v>10.867835400000001</v>
      </c>
      <c r="F176">
        <v>106.78219559999999</v>
      </c>
      <c r="G176">
        <v>10.869224000000001</v>
      </c>
      <c r="H176">
        <v>106.7779536</v>
      </c>
      <c r="I176" t="s">
        <v>251</v>
      </c>
      <c r="J176" t="s">
        <v>252</v>
      </c>
      <c r="K176">
        <v>489</v>
      </c>
      <c r="L176">
        <f t="shared" si="2"/>
        <v>0.48899999999999999</v>
      </c>
      <c r="M176">
        <v>121</v>
      </c>
      <c r="N176">
        <v>2.0166666666666671</v>
      </c>
      <c r="O176" s="3">
        <v>14.54876033057851</v>
      </c>
    </row>
    <row r="177" spans="1:15" x14ac:dyDescent="0.3">
      <c r="A177">
        <v>52</v>
      </c>
      <c r="B177">
        <v>58</v>
      </c>
      <c r="C177" t="s">
        <v>253</v>
      </c>
      <c r="D177" t="s">
        <v>16</v>
      </c>
      <c r="E177">
        <v>10.867835400000001</v>
      </c>
      <c r="F177">
        <v>106.78219559999999</v>
      </c>
      <c r="G177">
        <v>10.87373</v>
      </c>
      <c r="H177">
        <v>106.7777662</v>
      </c>
      <c r="I177" t="s">
        <v>251</v>
      </c>
      <c r="J177" t="s">
        <v>254</v>
      </c>
      <c r="K177">
        <v>1221</v>
      </c>
      <c r="L177">
        <f t="shared" si="2"/>
        <v>1.2210000000000001</v>
      </c>
      <c r="M177">
        <v>277</v>
      </c>
      <c r="N177">
        <v>4.6166666666666663</v>
      </c>
      <c r="O177" s="3">
        <v>15.868592057761729</v>
      </c>
    </row>
    <row r="178" spans="1:15" x14ac:dyDescent="0.3">
      <c r="A178">
        <v>53</v>
      </c>
      <c r="B178">
        <v>57</v>
      </c>
      <c r="C178" t="s">
        <v>255</v>
      </c>
      <c r="D178" t="s">
        <v>16</v>
      </c>
      <c r="E178">
        <v>10.869224000000001</v>
      </c>
      <c r="F178">
        <v>106.7779536</v>
      </c>
      <c r="G178">
        <v>10.8699376</v>
      </c>
      <c r="H178">
        <v>106.7757943</v>
      </c>
      <c r="I178" t="s">
        <v>252</v>
      </c>
      <c r="J178" t="s">
        <v>256</v>
      </c>
      <c r="K178">
        <v>249</v>
      </c>
      <c r="L178">
        <f t="shared" si="2"/>
        <v>0.249</v>
      </c>
      <c r="M178">
        <v>115</v>
      </c>
      <c r="N178">
        <v>1.916666666666667</v>
      </c>
      <c r="O178" s="3">
        <v>7.7947826086956526</v>
      </c>
    </row>
    <row r="179" spans="1:15" x14ac:dyDescent="0.3">
      <c r="A179">
        <v>54</v>
      </c>
      <c r="B179">
        <v>56</v>
      </c>
      <c r="C179" t="s">
        <v>257</v>
      </c>
      <c r="D179" t="s">
        <v>20</v>
      </c>
      <c r="E179">
        <v>10.867910999999999</v>
      </c>
      <c r="F179">
        <v>106.7878803</v>
      </c>
      <c r="G179">
        <v>10.8682438</v>
      </c>
      <c r="H179">
        <v>106.7876705</v>
      </c>
      <c r="I179" t="s">
        <v>158</v>
      </c>
      <c r="J179" t="s">
        <v>258</v>
      </c>
      <c r="K179">
        <v>107</v>
      </c>
      <c r="L179">
        <f t="shared" si="2"/>
        <v>0.107</v>
      </c>
      <c r="M179">
        <v>76</v>
      </c>
      <c r="N179">
        <v>1.2666666666666671</v>
      </c>
      <c r="O179" s="3">
        <v>5.0684210526315789</v>
      </c>
    </row>
    <row r="180" spans="1:15" x14ac:dyDescent="0.3">
      <c r="A180">
        <v>54</v>
      </c>
      <c r="B180">
        <v>55</v>
      </c>
      <c r="C180" t="s">
        <v>259</v>
      </c>
      <c r="D180" t="s">
        <v>16</v>
      </c>
      <c r="E180">
        <v>10.867910999999999</v>
      </c>
      <c r="F180">
        <v>106.7878803</v>
      </c>
      <c r="G180">
        <v>10.867361900000001</v>
      </c>
      <c r="H180">
        <v>106.78721950000001</v>
      </c>
      <c r="I180" t="s">
        <v>158</v>
      </c>
      <c r="J180" t="s">
        <v>160</v>
      </c>
      <c r="K180">
        <v>125</v>
      </c>
      <c r="L180">
        <f t="shared" si="2"/>
        <v>0.125</v>
      </c>
      <c r="M180">
        <v>75</v>
      </c>
      <c r="N180">
        <v>1.25</v>
      </c>
      <c r="O180" s="3">
        <v>6</v>
      </c>
    </row>
    <row r="181" spans="1:15" x14ac:dyDescent="0.3">
      <c r="A181">
        <v>55</v>
      </c>
      <c r="B181">
        <v>52</v>
      </c>
      <c r="C181" t="s">
        <v>260</v>
      </c>
      <c r="D181" t="s">
        <v>16</v>
      </c>
      <c r="E181">
        <v>10.867361900000001</v>
      </c>
      <c r="F181">
        <v>106.78721950000001</v>
      </c>
      <c r="G181">
        <v>10.867835400000001</v>
      </c>
      <c r="H181">
        <v>106.78219559999999</v>
      </c>
      <c r="I181" t="s">
        <v>160</v>
      </c>
      <c r="J181" t="s">
        <v>251</v>
      </c>
      <c r="K181">
        <v>554</v>
      </c>
      <c r="L181">
        <f t="shared" si="2"/>
        <v>0.55400000000000005</v>
      </c>
      <c r="M181">
        <v>116</v>
      </c>
      <c r="N181">
        <v>1.9333333333333329</v>
      </c>
      <c r="O181" s="3">
        <v>17.19310344827586</v>
      </c>
    </row>
    <row r="182" spans="1:15" x14ac:dyDescent="0.3">
      <c r="A182">
        <v>56</v>
      </c>
      <c r="B182">
        <v>55</v>
      </c>
      <c r="C182" t="s">
        <v>261</v>
      </c>
      <c r="D182" t="s">
        <v>16</v>
      </c>
      <c r="E182">
        <v>10.8682438</v>
      </c>
      <c r="F182">
        <v>106.7876705</v>
      </c>
      <c r="G182">
        <v>10.867361900000001</v>
      </c>
      <c r="H182">
        <v>106.78721950000001</v>
      </c>
      <c r="I182" t="s">
        <v>258</v>
      </c>
      <c r="J182" t="s">
        <v>160</v>
      </c>
      <c r="K182">
        <v>168</v>
      </c>
      <c r="L182">
        <f t="shared" si="2"/>
        <v>0.16800000000000001</v>
      </c>
      <c r="M182" s="2">
        <v>26.339169061928406</v>
      </c>
      <c r="N182">
        <v>0.43898615103214012</v>
      </c>
      <c r="O182" s="3">
        <v>22.962</v>
      </c>
    </row>
    <row r="183" spans="1:15" x14ac:dyDescent="0.3">
      <c r="A183">
        <v>56</v>
      </c>
      <c r="B183">
        <v>54</v>
      </c>
      <c r="C183" t="s">
        <v>262</v>
      </c>
      <c r="D183" t="s">
        <v>20</v>
      </c>
      <c r="E183">
        <v>10.8682438</v>
      </c>
      <c r="F183">
        <v>106.7876705</v>
      </c>
      <c r="G183">
        <v>10.867910999999999</v>
      </c>
      <c r="H183">
        <v>106.7878803</v>
      </c>
      <c r="I183" t="s">
        <v>258</v>
      </c>
      <c r="J183" t="s">
        <v>158</v>
      </c>
      <c r="K183">
        <v>107</v>
      </c>
      <c r="L183">
        <f t="shared" si="2"/>
        <v>0.107</v>
      </c>
      <c r="M183">
        <v>53</v>
      </c>
      <c r="N183">
        <v>0.8833333333333333</v>
      </c>
      <c r="O183" s="3">
        <v>7.2679245283018874</v>
      </c>
    </row>
    <row r="184" spans="1:15" x14ac:dyDescent="0.3">
      <c r="A184">
        <v>56</v>
      </c>
      <c r="B184">
        <v>91</v>
      </c>
      <c r="C184" t="s">
        <v>263</v>
      </c>
      <c r="D184" t="s">
        <v>16</v>
      </c>
      <c r="E184">
        <v>10.8682438</v>
      </c>
      <c r="F184">
        <v>106.7876705</v>
      </c>
      <c r="G184">
        <v>10.866859399999999</v>
      </c>
      <c r="H184">
        <v>106.79027170000001</v>
      </c>
      <c r="I184" t="s">
        <v>258</v>
      </c>
      <c r="J184" t="s">
        <v>264</v>
      </c>
      <c r="K184">
        <v>400</v>
      </c>
      <c r="L184">
        <f t="shared" si="2"/>
        <v>0.4</v>
      </c>
      <c r="M184" s="2">
        <v>45.338622839331258</v>
      </c>
      <c r="N184">
        <v>0.75564371398885433</v>
      </c>
      <c r="O184" s="3">
        <v>31.760999999999999</v>
      </c>
    </row>
    <row r="185" spans="1:15" x14ac:dyDescent="0.3">
      <c r="A185">
        <v>57</v>
      </c>
      <c r="B185">
        <v>66</v>
      </c>
      <c r="C185" t="s">
        <v>265</v>
      </c>
      <c r="D185" t="s">
        <v>16</v>
      </c>
      <c r="E185">
        <v>10.8699376</v>
      </c>
      <c r="F185">
        <v>106.7757943</v>
      </c>
      <c r="G185">
        <v>10.871397999999999</v>
      </c>
      <c r="H185">
        <v>106.77133000000001</v>
      </c>
      <c r="I185" t="s">
        <v>256</v>
      </c>
      <c r="J185" t="s">
        <v>266</v>
      </c>
      <c r="K185">
        <v>514</v>
      </c>
      <c r="L185">
        <f t="shared" si="2"/>
        <v>0.51400000000000001</v>
      </c>
      <c r="M185">
        <v>121</v>
      </c>
      <c r="N185">
        <v>2.0166666666666671</v>
      </c>
      <c r="O185" s="3">
        <v>15.292561983471071</v>
      </c>
    </row>
    <row r="186" spans="1:15" x14ac:dyDescent="0.3">
      <c r="A186">
        <v>57</v>
      </c>
      <c r="B186">
        <v>58</v>
      </c>
      <c r="C186" t="s">
        <v>267</v>
      </c>
      <c r="D186" t="s">
        <v>16</v>
      </c>
      <c r="E186">
        <v>10.8699376</v>
      </c>
      <c r="F186">
        <v>106.7757943</v>
      </c>
      <c r="G186">
        <v>10.87373</v>
      </c>
      <c r="H186">
        <v>106.7777662</v>
      </c>
      <c r="I186" t="s">
        <v>256</v>
      </c>
      <c r="J186" t="s">
        <v>254</v>
      </c>
      <c r="K186">
        <v>567</v>
      </c>
      <c r="L186">
        <f t="shared" si="2"/>
        <v>0.56699999999999995</v>
      </c>
      <c r="M186">
        <v>105</v>
      </c>
      <c r="N186">
        <v>1.75</v>
      </c>
      <c r="O186" s="3">
        <v>19.440000000000001</v>
      </c>
    </row>
    <row r="187" spans="1:15" x14ac:dyDescent="0.3">
      <c r="A187">
        <v>57</v>
      </c>
      <c r="B187">
        <v>61</v>
      </c>
      <c r="C187" t="s">
        <v>268</v>
      </c>
      <c r="D187" t="s">
        <v>16</v>
      </c>
      <c r="E187">
        <v>10.8699376</v>
      </c>
      <c r="F187">
        <v>106.7757943</v>
      </c>
      <c r="G187">
        <v>10.872350300000001</v>
      </c>
      <c r="H187">
        <v>106.7798379</v>
      </c>
      <c r="I187" t="s">
        <v>256</v>
      </c>
      <c r="J187" t="s">
        <v>269</v>
      </c>
      <c r="K187">
        <v>740</v>
      </c>
      <c r="L187">
        <f t="shared" si="2"/>
        <v>0.74</v>
      </c>
      <c r="M187" s="2">
        <v>107.84988462005586</v>
      </c>
      <c r="N187">
        <v>1.797498077000931</v>
      </c>
      <c r="O187" s="3">
        <v>24.701000000000001</v>
      </c>
    </row>
    <row r="188" spans="1:15" x14ac:dyDescent="0.3">
      <c r="A188">
        <v>57</v>
      </c>
      <c r="B188">
        <v>69</v>
      </c>
      <c r="C188" t="s">
        <v>270</v>
      </c>
      <c r="D188" t="s">
        <v>16</v>
      </c>
      <c r="E188">
        <v>10.8699376</v>
      </c>
      <c r="F188">
        <v>106.7757943</v>
      </c>
      <c r="G188">
        <v>10.877382000000001</v>
      </c>
      <c r="H188">
        <v>106.766628</v>
      </c>
      <c r="I188" t="s">
        <v>256</v>
      </c>
      <c r="J188" t="s">
        <v>271</v>
      </c>
      <c r="K188">
        <v>1439</v>
      </c>
      <c r="L188">
        <f t="shared" si="2"/>
        <v>1.4390000000000001</v>
      </c>
      <c r="M188">
        <v>268</v>
      </c>
      <c r="N188">
        <v>4.4666666666666668</v>
      </c>
      <c r="O188" s="3">
        <v>19.329850746268662</v>
      </c>
    </row>
    <row r="189" spans="1:15" x14ac:dyDescent="0.3">
      <c r="A189">
        <v>58</v>
      </c>
      <c r="B189">
        <v>63</v>
      </c>
      <c r="C189" t="s">
        <v>274</v>
      </c>
      <c r="D189" t="s">
        <v>16</v>
      </c>
      <c r="E189">
        <v>10.87373</v>
      </c>
      <c r="F189">
        <v>106.7777662</v>
      </c>
      <c r="G189">
        <v>10.8756225</v>
      </c>
      <c r="H189">
        <v>106.7780348</v>
      </c>
      <c r="I189" t="s">
        <v>254</v>
      </c>
      <c r="J189" t="s">
        <v>275</v>
      </c>
      <c r="K189">
        <v>232</v>
      </c>
      <c r="L189">
        <f t="shared" si="2"/>
        <v>0.23200000000000001</v>
      </c>
      <c r="M189">
        <v>39</v>
      </c>
      <c r="N189">
        <v>0.65</v>
      </c>
      <c r="O189" s="3">
        <v>21.415384615384621</v>
      </c>
    </row>
    <row r="190" spans="1:15" x14ac:dyDescent="0.3">
      <c r="A190">
        <v>58</v>
      </c>
      <c r="B190">
        <v>59</v>
      </c>
      <c r="C190" t="s">
        <v>276</v>
      </c>
      <c r="D190" t="s">
        <v>20</v>
      </c>
      <c r="E190">
        <v>10.87373</v>
      </c>
      <c r="F190">
        <v>106.7777662</v>
      </c>
      <c r="G190">
        <v>10.873994700000001</v>
      </c>
      <c r="H190">
        <v>106.77763950000001</v>
      </c>
      <c r="I190" t="s">
        <v>254</v>
      </c>
      <c r="J190" t="s">
        <v>277</v>
      </c>
      <c r="K190">
        <v>16</v>
      </c>
      <c r="L190">
        <f t="shared" si="2"/>
        <v>1.6E-2</v>
      </c>
      <c r="M190">
        <v>2</v>
      </c>
      <c r="N190">
        <v>3.3333333333333333E-2</v>
      </c>
      <c r="O190" s="3">
        <v>28.8</v>
      </c>
    </row>
    <row r="191" spans="1:15" x14ac:dyDescent="0.3">
      <c r="A191">
        <v>58</v>
      </c>
      <c r="B191">
        <v>61</v>
      </c>
      <c r="C191" t="s">
        <v>278</v>
      </c>
      <c r="D191" t="s">
        <v>16</v>
      </c>
      <c r="E191">
        <v>10.87373</v>
      </c>
      <c r="F191">
        <v>106.7777662</v>
      </c>
      <c r="G191">
        <v>10.872350300000001</v>
      </c>
      <c r="H191">
        <v>106.7798379</v>
      </c>
      <c r="I191" t="s">
        <v>254</v>
      </c>
      <c r="J191" t="s">
        <v>269</v>
      </c>
      <c r="K191">
        <v>424</v>
      </c>
      <c r="L191">
        <f t="shared" ref="L191:L254" si="3">K191/1000</f>
        <v>0.42399999999999999</v>
      </c>
      <c r="M191">
        <v>82</v>
      </c>
      <c r="N191">
        <v>1.3666666666666669</v>
      </c>
      <c r="O191" s="3">
        <v>18.614634146341459</v>
      </c>
    </row>
    <row r="192" spans="1:15" x14ac:dyDescent="0.3">
      <c r="A192">
        <v>59</v>
      </c>
      <c r="B192">
        <v>58</v>
      </c>
      <c r="C192" t="s">
        <v>279</v>
      </c>
      <c r="D192" t="s">
        <v>20</v>
      </c>
      <c r="E192">
        <v>10.873994700000001</v>
      </c>
      <c r="F192">
        <v>106.77763950000001</v>
      </c>
      <c r="G192">
        <v>10.87373</v>
      </c>
      <c r="H192">
        <v>106.7777662</v>
      </c>
      <c r="I192" t="s">
        <v>277</v>
      </c>
      <c r="J192" t="s">
        <v>254</v>
      </c>
      <c r="K192">
        <v>16</v>
      </c>
      <c r="L192">
        <f t="shared" si="3"/>
        <v>1.6E-2</v>
      </c>
      <c r="M192">
        <v>2</v>
      </c>
      <c r="N192">
        <v>3.3333333333333333E-2</v>
      </c>
      <c r="O192" s="3">
        <v>28.8</v>
      </c>
    </row>
    <row r="193" spans="1:15" x14ac:dyDescent="0.3">
      <c r="A193">
        <v>59</v>
      </c>
      <c r="B193">
        <v>66</v>
      </c>
      <c r="C193" t="s">
        <v>280</v>
      </c>
      <c r="D193" t="s">
        <v>16</v>
      </c>
      <c r="E193">
        <v>10.873994700000001</v>
      </c>
      <c r="F193">
        <v>106.77763950000001</v>
      </c>
      <c r="G193">
        <v>10.871397999999999</v>
      </c>
      <c r="H193">
        <v>106.77133000000001</v>
      </c>
      <c r="I193" t="s">
        <v>277</v>
      </c>
      <c r="J193" t="s">
        <v>266</v>
      </c>
      <c r="K193">
        <v>955</v>
      </c>
      <c r="L193">
        <f t="shared" si="3"/>
        <v>0.95499999999999996</v>
      </c>
      <c r="M193">
        <v>163</v>
      </c>
      <c r="N193">
        <v>2.7166666666666668</v>
      </c>
      <c r="O193" s="3">
        <v>21.092024539877301</v>
      </c>
    </row>
    <row r="194" spans="1:15" x14ac:dyDescent="0.3">
      <c r="A194">
        <v>59</v>
      </c>
      <c r="B194">
        <v>60</v>
      </c>
      <c r="C194" t="s">
        <v>281</v>
      </c>
      <c r="D194" t="s">
        <v>16</v>
      </c>
      <c r="E194">
        <v>10.873994700000001</v>
      </c>
      <c r="F194">
        <v>106.77763950000001</v>
      </c>
      <c r="G194">
        <v>10.8726381</v>
      </c>
      <c r="H194">
        <v>106.7793856</v>
      </c>
      <c r="I194" t="s">
        <v>277</v>
      </c>
      <c r="J194" t="s">
        <v>230</v>
      </c>
      <c r="K194">
        <v>398</v>
      </c>
      <c r="L194">
        <f t="shared" si="3"/>
        <v>0.39800000000000002</v>
      </c>
      <c r="M194">
        <v>78</v>
      </c>
      <c r="N194">
        <v>1.3</v>
      </c>
      <c r="O194" s="3">
        <v>18.369230769230771</v>
      </c>
    </row>
    <row r="195" spans="1:15" x14ac:dyDescent="0.3">
      <c r="A195">
        <v>59</v>
      </c>
      <c r="B195">
        <v>61</v>
      </c>
      <c r="C195" t="s">
        <v>282</v>
      </c>
      <c r="D195" t="s">
        <v>16</v>
      </c>
      <c r="E195">
        <v>10.873994700000001</v>
      </c>
      <c r="F195">
        <v>106.77763950000001</v>
      </c>
      <c r="G195">
        <v>10.872350300000001</v>
      </c>
      <c r="H195">
        <v>106.7798379</v>
      </c>
      <c r="I195" t="s">
        <v>277</v>
      </c>
      <c r="J195" t="s">
        <v>269</v>
      </c>
      <c r="K195">
        <v>408</v>
      </c>
      <c r="L195">
        <f t="shared" si="3"/>
        <v>0.40799999999999997</v>
      </c>
      <c r="M195">
        <v>80</v>
      </c>
      <c r="N195">
        <v>1.333333333333333</v>
      </c>
      <c r="O195" s="3">
        <v>18.36</v>
      </c>
    </row>
    <row r="196" spans="1:15" x14ac:dyDescent="0.3">
      <c r="A196">
        <v>59</v>
      </c>
      <c r="B196">
        <v>69</v>
      </c>
      <c r="C196" t="s">
        <v>283</v>
      </c>
      <c r="D196" t="s">
        <v>16</v>
      </c>
      <c r="E196">
        <v>10.873994700000001</v>
      </c>
      <c r="F196">
        <v>106.77763950000001</v>
      </c>
      <c r="G196">
        <v>10.877382000000001</v>
      </c>
      <c r="H196">
        <v>106.766628</v>
      </c>
      <c r="I196" t="s">
        <v>277</v>
      </c>
      <c r="J196" t="s">
        <v>271</v>
      </c>
      <c r="K196">
        <v>1868</v>
      </c>
      <c r="L196">
        <f t="shared" si="3"/>
        <v>1.8680000000000001</v>
      </c>
      <c r="M196" s="2">
        <v>324.10236637910265</v>
      </c>
      <c r="N196">
        <v>5.4017061063183771</v>
      </c>
      <c r="O196" s="3">
        <v>20.748999999999999</v>
      </c>
    </row>
    <row r="197" spans="1:15" x14ac:dyDescent="0.3">
      <c r="A197">
        <v>60</v>
      </c>
      <c r="B197">
        <v>58</v>
      </c>
      <c r="C197" t="s">
        <v>284</v>
      </c>
      <c r="D197" t="s">
        <v>59</v>
      </c>
      <c r="E197">
        <v>10.8726381</v>
      </c>
      <c r="F197">
        <v>106.7793856</v>
      </c>
      <c r="G197">
        <v>10.87373</v>
      </c>
      <c r="H197">
        <v>106.7777662</v>
      </c>
      <c r="I197" t="s">
        <v>230</v>
      </c>
      <c r="J197" t="s">
        <v>254</v>
      </c>
      <c r="K197">
        <v>414</v>
      </c>
      <c r="L197">
        <f t="shared" si="3"/>
        <v>0.41399999999999998</v>
      </c>
      <c r="M197">
        <v>85</v>
      </c>
      <c r="N197">
        <v>1.416666666666667</v>
      </c>
      <c r="O197" s="3">
        <v>17.534117647058821</v>
      </c>
    </row>
    <row r="198" spans="1:15" x14ac:dyDescent="0.3">
      <c r="A198">
        <v>60</v>
      </c>
      <c r="B198">
        <v>66</v>
      </c>
      <c r="C198" t="s">
        <v>285</v>
      </c>
      <c r="D198" t="s">
        <v>16</v>
      </c>
      <c r="E198">
        <v>10.8726381</v>
      </c>
      <c r="F198">
        <v>106.7793856</v>
      </c>
      <c r="G198">
        <v>10.871397999999999</v>
      </c>
      <c r="H198">
        <v>106.77133000000001</v>
      </c>
      <c r="I198" t="s">
        <v>230</v>
      </c>
      <c r="J198" t="s">
        <v>266</v>
      </c>
      <c r="K198">
        <v>1205</v>
      </c>
      <c r="L198">
        <f t="shared" si="3"/>
        <v>1.2050000000000001</v>
      </c>
      <c r="M198" s="2">
        <v>211.85778472357885</v>
      </c>
      <c r="N198">
        <v>3.5309630787263142</v>
      </c>
      <c r="O198" s="3">
        <v>20.475999999999999</v>
      </c>
    </row>
    <row r="199" spans="1:15" x14ac:dyDescent="0.3">
      <c r="A199">
        <v>60</v>
      </c>
      <c r="B199">
        <v>59</v>
      </c>
      <c r="C199" t="s">
        <v>286</v>
      </c>
      <c r="D199" t="s">
        <v>59</v>
      </c>
      <c r="E199">
        <v>10.8726381</v>
      </c>
      <c r="F199">
        <v>106.7793856</v>
      </c>
      <c r="G199">
        <v>10.873994700000001</v>
      </c>
      <c r="H199">
        <v>106.77763950000001</v>
      </c>
      <c r="I199" t="s">
        <v>230</v>
      </c>
      <c r="J199" t="s">
        <v>277</v>
      </c>
      <c r="K199">
        <v>398</v>
      </c>
      <c r="L199">
        <f t="shared" si="3"/>
        <v>0.39800000000000002</v>
      </c>
      <c r="M199">
        <v>83</v>
      </c>
      <c r="N199">
        <v>1.3833333333333331</v>
      </c>
      <c r="O199" s="3">
        <v>17.262650602409639</v>
      </c>
    </row>
    <row r="200" spans="1:15" x14ac:dyDescent="0.3">
      <c r="A200">
        <v>60</v>
      </c>
      <c r="B200">
        <v>63</v>
      </c>
      <c r="C200" t="s">
        <v>287</v>
      </c>
      <c r="D200" t="s">
        <v>16</v>
      </c>
      <c r="E200">
        <v>10.8726381</v>
      </c>
      <c r="F200">
        <v>106.7793856</v>
      </c>
      <c r="G200">
        <v>10.8756225</v>
      </c>
      <c r="H200">
        <v>106.7780348</v>
      </c>
      <c r="I200" t="s">
        <v>230</v>
      </c>
      <c r="J200" t="s">
        <v>275</v>
      </c>
      <c r="K200">
        <v>359</v>
      </c>
      <c r="L200">
        <f t="shared" si="3"/>
        <v>0.35899999999999999</v>
      </c>
      <c r="M200">
        <v>68</v>
      </c>
      <c r="N200">
        <v>1.1333333333333331</v>
      </c>
      <c r="O200" s="3">
        <v>19.005882352941171</v>
      </c>
    </row>
    <row r="201" spans="1:15" x14ac:dyDescent="0.3">
      <c r="A201">
        <v>61</v>
      </c>
      <c r="B201">
        <v>60</v>
      </c>
      <c r="C201" t="s">
        <v>288</v>
      </c>
      <c r="D201" t="s">
        <v>20</v>
      </c>
      <c r="E201">
        <v>10.872350300000001</v>
      </c>
      <c r="F201">
        <v>106.7798379</v>
      </c>
      <c r="G201">
        <v>10.8726381</v>
      </c>
      <c r="H201">
        <v>106.7793856</v>
      </c>
      <c r="I201" t="s">
        <v>269</v>
      </c>
      <c r="J201" t="s">
        <v>230</v>
      </c>
      <c r="K201">
        <v>9</v>
      </c>
      <c r="L201">
        <f t="shared" si="3"/>
        <v>8.9999999999999993E-3</v>
      </c>
      <c r="M201">
        <v>2</v>
      </c>
      <c r="N201">
        <v>3.3333333333333333E-2</v>
      </c>
      <c r="O201" s="3">
        <v>16.2</v>
      </c>
    </row>
    <row r="202" spans="1:15" x14ac:dyDescent="0.3">
      <c r="A202">
        <v>61</v>
      </c>
      <c r="B202">
        <v>48</v>
      </c>
      <c r="C202" t="s">
        <v>289</v>
      </c>
      <c r="D202" t="s">
        <v>59</v>
      </c>
      <c r="E202">
        <v>10.872350300000001</v>
      </c>
      <c r="F202">
        <v>106.7798379</v>
      </c>
      <c r="G202">
        <v>10.8817308</v>
      </c>
      <c r="H202">
        <v>106.7831044</v>
      </c>
      <c r="I202" t="s">
        <v>269</v>
      </c>
      <c r="J202" t="s">
        <v>200</v>
      </c>
      <c r="K202">
        <v>1452</v>
      </c>
      <c r="L202">
        <f t="shared" si="3"/>
        <v>1.452</v>
      </c>
      <c r="M202" s="2">
        <v>259.55608520780578</v>
      </c>
      <c r="N202">
        <v>4.3259347534634296</v>
      </c>
      <c r="O202" s="3">
        <v>20.138999999999999</v>
      </c>
    </row>
    <row r="203" spans="1:15" x14ac:dyDescent="0.3">
      <c r="A203">
        <v>61</v>
      </c>
      <c r="B203">
        <v>47</v>
      </c>
      <c r="C203" t="s">
        <v>290</v>
      </c>
      <c r="D203" t="s">
        <v>59</v>
      </c>
      <c r="E203">
        <v>10.872350300000001</v>
      </c>
      <c r="F203">
        <v>106.7798379</v>
      </c>
      <c r="G203">
        <v>10.8797271</v>
      </c>
      <c r="H203">
        <v>106.78738679999999</v>
      </c>
      <c r="I203" t="s">
        <v>269</v>
      </c>
      <c r="J203" t="s">
        <v>202</v>
      </c>
      <c r="K203">
        <v>1502</v>
      </c>
      <c r="L203">
        <f t="shared" si="3"/>
        <v>1.502</v>
      </c>
      <c r="M203" s="2">
        <v>142.01444517399867</v>
      </c>
      <c r="N203">
        <v>2.3669074195666444</v>
      </c>
      <c r="O203" s="3">
        <v>38.075000000000003</v>
      </c>
    </row>
    <row r="204" spans="1:15" x14ac:dyDescent="0.3">
      <c r="A204">
        <v>62</v>
      </c>
      <c r="B204">
        <v>63</v>
      </c>
      <c r="C204" t="s">
        <v>291</v>
      </c>
      <c r="D204" t="s">
        <v>20</v>
      </c>
      <c r="E204">
        <v>10.8758721</v>
      </c>
      <c r="F204">
        <v>106.77776609999999</v>
      </c>
      <c r="G204">
        <v>10.8756225</v>
      </c>
      <c r="H204">
        <v>106.7780348</v>
      </c>
      <c r="I204" t="s">
        <v>292</v>
      </c>
      <c r="J204" t="s">
        <v>275</v>
      </c>
      <c r="K204">
        <v>39</v>
      </c>
      <c r="L204">
        <f t="shared" si="3"/>
        <v>3.9E-2</v>
      </c>
      <c r="M204">
        <v>8</v>
      </c>
      <c r="N204">
        <v>0.1333333333333333</v>
      </c>
      <c r="O204" s="3">
        <v>17.55</v>
      </c>
    </row>
    <row r="205" spans="1:15" x14ac:dyDescent="0.3">
      <c r="A205">
        <v>62</v>
      </c>
      <c r="B205">
        <v>59</v>
      </c>
      <c r="C205" t="s">
        <v>293</v>
      </c>
      <c r="D205" t="s">
        <v>16</v>
      </c>
      <c r="E205">
        <v>10.8758721</v>
      </c>
      <c r="F205">
        <v>106.77776609999999</v>
      </c>
      <c r="G205">
        <v>10.873994700000001</v>
      </c>
      <c r="H205">
        <v>106.77763950000001</v>
      </c>
      <c r="I205" t="s">
        <v>292</v>
      </c>
      <c r="J205" t="s">
        <v>277</v>
      </c>
      <c r="K205">
        <v>254</v>
      </c>
      <c r="L205">
        <f t="shared" si="3"/>
        <v>0.254</v>
      </c>
      <c r="M205">
        <v>44</v>
      </c>
      <c r="N205">
        <v>0.73333333333333328</v>
      </c>
      <c r="O205" s="3">
        <v>20.781818181818181</v>
      </c>
    </row>
    <row r="206" spans="1:15" x14ac:dyDescent="0.3">
      <c r="A206">
        <v>63</v>
      </c>
      <c r="B206">
        <v>75</v>
      </c>
      <c r="C206" t="s">
        <v>294</v>
      </c>
      <c r="D206" t="s">
        <v>16</v>
      </c>
      <c r="E206">
        <v>10.8756225</v>
      </c>
      <c r="F206">
        <v>106.7780348</v>
      </c>
      <c r="G206">
        <v>10.8799244</v>
      </c>
      <c r="H206">
        <v>106.7741556</v>
      </c>
      <c r="I206" t="s">
        <v>275</v>
      </c>
      <c r="J206" t="s">
        <v>295</v>
      </c>
      <c r="K206">
        <v>887</v>
      </c>
      <c r="L206">
        <f t="shared" si="3"/>
        <v>0.88700000000000001</v>
      </c>
      <c r="M206">
        <v>269</v>
      </c>
      <c r="N206">
        <v>4.4833333333333334</v>
      </c>
      <c r="O206" s="3">
        <v>11.87063197026022</v>
      </c>
    </row>
    <row r="207" spans="1:15" x14ac:dyDescent="0.3">
      <c r="A207">
        <v>63</v>
      </c>
      <c r="B207">
        <v>62</v>
      </c>
      <c r="C207" t="s">
        <v>296</v>
      </c>
      <c r="D207" t="s">
        <v>20</v>
      </c>
      <c r="E207">
        <v>10.8756225</v>
      </c>
      <c r="F207">
        <v>106.7780348</v>
      </c>
      <c r="G207">
        <v>10.8758721</v>
      </c>
      <c r="H207">
        <v>106.77776609999999</v>
      </c>
      <c r="I207" t="s">
        <v>275</v>
      </c>
      <c r="J207" t="s">
        <v>292</v>
      </c>
      <c r="K207">
        <v>39</v>
      </c>
      <c r="L207">
        <f t="shared" si="3"/>
        <v>3.9E-2</v>
      </c>
      <c r="M207">
        <v>7</v>
      </c>
      <c r="N207">
        <v>0.1166666666666667</v>
      </c>
      <c r="O207" s="3">
        <v>20.05714285714286</v>
      </c>
    </row>
    <row r="208" spans="1:15" x14ac:dyDescent="0.3">
      <c r="A208">
        <v>64</v>
      </c>
      <c r="B208">
        <v>65</v>
      </c>
      <c r="C208" t="s">
        <v>297</v>
      </c>
      <c r="D208" t="s">
        <v>20</v>
      </c>
      <c r="E208">
        <v>10.880685</v>
      </c>
      <c r="F208">
        <v>106.79552099999999</v>
      </c>
      <c r="G208">
        <v>10.8809022</v>
      </c>
      <c r="H208">
        <v>106.7955379</v>
      </c>
      <c r="I208" t="s">
        <v>235</v>
      </c>
      <c r="J208" t="s">
        <v>48</v>
      </c>
      <c r="K208">
        <v>248</v>
      </c>
      <c r="L208">
        <f t="shared" si="3"/>
        <v>0.248</v>
      </c>
      <c r="M208">
        <v>939</v>
      </c>
      <c r="N208">
        <v>15.65</v>
      </c>
      <c r="O208" s="3">
        <v>0.95079872204472848</v>
      </c>
    </row>
    <row r="209" spans="1:15" x14ac:dyDescent="0.3">
      <c r="A209">
        <v>64</v>
      </c>
      <c r="B209">
        <v>42</v>
      </c>
      <c r="C209" t="s">
        <v>298</v>
      </c>
      <c r="D209" t="s">
        <v>59</v>
      </c>
      <c r="E209">
        <v>10.880685</v>
      </c>
      <c r="F209">
        <v>106.79552099999999</v>
      </c>
      <c r="G209">
        <v>10.883092</v>
      </c>
      <c r="H209">
        <v>106.8</v>
      </c>
      <c r="I209" t="s">
        <v>235</v>
      </c>
      <c r="J209" t="s">
        <v>31</v>
      </c>
      <c r="K209">
        <v>1666</v>
      </c>
      <c r="L209">
        <f t="shared" si="3"/>
        <v>1.6659999999999999</v>
      </c>
      <c r="M209">
        <v>1116</v>
      </c>
      <c r="N209">
        <v>18.600000000000001</v>
      </c>
      <c r="O209" s="3">
        <v>5.3741935483870966</v>
      </c>
    </row>
    <row r="210" spans="1:15" x14ac:dyDescent="0.3">
      <c r="A210">
        <v>64</v>
      </c>
      <c r="B210">
        <v>43</v>
      </c>
      <c r="C210" t="s">
        <v>299</v>
      </c>
      <c r="D210" t="s">
        <v>59</v>
      </c>
      <c r="E210">
        <v>10.880685</v>
      </c>
      <c r="F210">
        <v>106.79552099999999</v>
      </c>
      <c r="G210">
        <v>10.885055700000001</v>
      </c>
      <c r="H210">
        <v>106.80008220000001</v>
      </c>
      <c r="I210" t="s">
        <v>235</v>
      </c>
      <c r="J210" t="s">
        <v>33</v>
      </c>
      <c r="K210">
        <v>852</v>
      </c>
      <c r="L210">
        <f t="shared" si="3"/>
        <v>0.85199999999999998</v>
      </c>
      <c r="M210" s="2">
        <v>120.6656438097486</v>
      </c>
      <c r="N210">
        <v>2.0110940634958099</v>
      </c>
      <c r="O210" s="3">
        <v>25.419</v>
      </c>
    </row>
    <row r="211" spans="1:15" x14ac:dyDescent="0.3">
      <c r="A211">
        <v>64</v>
      </c>
      <c r="B211">
        <v>1</v>
      </c>
      <c r="C211" t="s">
        <v>300</v>
      </c>
      <c r="D211" t="s">
        <v>59</v>
      </c>
      <c r="E211">
        <v>10.880685</v>
      </c>
      <c r="F211">
        <v>106.79552099999999</v>
      </c>
      <c r="G211">
        <v>10.8771068</v>
      </c>
      <c r="H211">
        <v>106.8028618</v>
      </c>
      <c r="I211" t="s">
        <v>235</v>
      </c>
      <c r="J211" t="s">
        <v>17</v>
      </c>
      <c r="K211">
        <v>1039</v>
      </c>
      <c r="L211">
        <f t="shared" si="3"/>
        <v>1.0389999999999999</v>
      </c>
      <c r="M211" s="2">
        <v>119.29578363207246</v>
      </c>
      <c r="N211">
        <v>1.988263060534541</v>
      </c>
      <c r="O211" s="3">
        <v>31.353999999999999</v>
      </c>
    </row>
    <row r="212" spans="1:15" x14ac:dyDescent="0.3">
      <c r="A212">
        <v>64</v>
      </c>
      <c r="B212">
        <v>4</v>
      </c>
      <c r="C212" t="s">
        <v>301</v>
      </c>
      <c r="D212" t="s">
        <v>59</v>
      </c>
      <c r="E212">
        <v>10.880685</v>
      </c>
      <c r="F212">
        <v>106.79552099999999</v>
      </c>
      <c r="G212">
        <v>10.876407499999999</v>
      </c>
      <c r="H212">
        <v>106.8024855</v>
      </c>
      <c r="I212" t="s">
        <v>235</v>
      </c>
      <c r="J212" t="s">
        <v>43</v>
      </c>
      <c r="K212">
        <v>1051</v>
      </c>
      <c r="L212">
        <f t="shared" si="3"/>
        <v>1.0509999999999999</v>
      </c>
      <c r="M212">
        <v>140</v>
      </c>
      <c r="N212">
        <v>2.333333333333333</v>
      </c>
      <c r="O212" s="3">
        <v>27.02571428571428</v>
      </c>
    </row>
    <row r="213" spans="1:15" x14ac:dyDescent="0.3">
      <c r="A213">
        <v>64</v>
      </c>
      <c r="B213">
        <v>19</v>
      </c>
      <c r="C213" t="s">
        <v>302</v>
      </c>
      <c r="D213" t="s">
        <v>59</v>
      </c>
      <c r="E213">
        <v>10.880685</v>
      </c>
      <c r="F213">
        <v>106.79552099999999</v>
      </c>
      <c r="G213">
        <v>10.874542999999999</v>
      </c>
      <c r="H213">
        <v>106.8001747</v>
      </c>
      <c r="I213" t="s">
        <v>235</v>
      </c>
      <c r="J213" t="s">
        <v>29</v>
      </c>
      <c r="K213">
        <v>1139</v>
      </c>
      <c r="L213">
        <f t="shared" si="3"/>
        <v>1.139</v>
      </c>
      <c r="M213">
        <v>169</v>
      </c>
      <c r="N213">
        <v>2.8166666666666669</v>
      </c>
      <c r="O213" s="3">
        <v>24.262721893491129</v>
      </c>
    </row>
    <row r="214" spans="1:15" x14ac:dyDescent="0.3">
      <c r="A214">
        <v>64</v>
      </c>
      <c r="B214">
        <v>18</v>
      </c>
      <c r="C214" t="s">
        <v>303</v>
      </c>
      <c r="D214" t="s">
        <v>59</v>
      </c>
      <c r="E214">
        <v>10.880685</v>
      </c>
      <c r="F214">
        <v>106.79552099999999</v>
      </c>
      <c r="G214">
        <v>10.874378500000001</v>
      </c>
      <c r="H214">
        <v>106.7999792</v>
      </c>
      <c r="I214" t="s">
        <v>235</v>
      </c>
      <c r="J214" t="s">
        <v>45</v>
      </c>
      <c r="K214">
        <v>1141</v>
      </c>
      <c r="L214">
        <f t="shared" si="3"/>
        <v>1.141</v>
      </c>
      <c r="M214">
        <v>169</v>
      </c>
      <c r="N214">
        <v>2.8166666666666669</v>
      </c>
      <c r="O214" s="3">
        <v>24.30532544378698</v>
      </c>
    </row>
    <row r="215" spans="1:15" x14ac:dyDescent="0.3">
      <c r="A215">
        <v>64</v>
      </c>
      <c r="B215">
        <v>41</v>
      </c>
      <c r="C215" t="s">
        <v>304</v>
      </c>
      <c r="D215" t="s">
        <v>59</v>
      </c>
      <c r="E215">
        <v>10.880685</v>
      </c>
      <c r="F215">
        <v>106.79552099999999</v>
      </c>
      <c r="G215">
        <v>10.887394199999999</v>
      </c>
      <c r="H215">
        <v>106.8047072</v>
      </c>
      <c r="I215" t="s">
        <v>235</v>
      </c>
      <c r="J215" t="s">
        <v>37</v>
      </c>
      <c r="K215">
        <v>2167</v>
      </c>
      <c r="L215">
        <f t="shared" si="3"/>
        <v>2.1669999999999998</v>
      </c>
      <c r="M215">
        <v>307</v>
      </c>
      <c r="N215">
        <v>5.1166666666666663</v>
      </c>
      <c r="O215" s="3">
        <v>25.411074918566779</v>
      </c>
    </row>
    <row r="216" spans="1:15" x14ac:dyDescent="0.3">
      <c r="A216">
        <v>64</v>
      </c>
      <c r="B216">
        <v>13</v>
      </c>
      <c r="C216" t="s">
        <v>305</v>
      </c>
      <c r="D216" t="s">
        <v>59</v>
      </c>
      <c r="E216">
        <v>10.880685</v>
      </c>
      <c r="F216">
        <v>106.79552099999999</v>
      </c>
      <c r="G216">
        <v>10.8801103</v>
      </c>
      <c r="H216">
        <v>106.80718299999999</v>
      </c>
      <c r="I216" t="s">
        <v>235</v>
      </c>
      <c r="J216" t="s">
        <v>35</v>
      </c>
      <c r="K216">
        <v>1720</v>
      </c>
      <c r="L216">
        <f t="shared" si="3"/>
        <v>1.72</v>
      </c>
      <c r="M216">
        <v>306</v>
      </c>
      <c r="N216">
        <v>5.0999999999999996</v>
      </c>
      <c r="O216" s="3">
        <v>20.235294117647062</v>
      </c>
    </row>
    <row r="217" spans="1:15" x14ac:dyDescent="0.3">
      <c r="A217">
        <v>64</v>
      </c>
      <c r="B217">
        <v>15</v>
      </c>
      <c r="C217" t="s">
        <v>306</v>
      </c>
      <c r="D217" t="s">
        <v>59</v>
      </c>
      <c r="E217">
        <v>10.880685</v>
      </c>
      <c r="F217">
        <v>106.79552099999999</v>
      </c>
      <c r="G217">
        <v>10.880791</v>
      </c>
      <c r="H217">
        <v>106.81063399999999</v>
      </c>
      <c r="I217" t="s">
        <v>235</v>
      </c>
      <c r="J217" t="s">
        <v>39</v>
      </c>
      <c r="K217">
        <v>2327</v>
      </c>
      <c r="L217">
        <f t="shared" si="3"/>
        <v>2.327</v>
      </c>
      <c r="M217">
        <v>353</v>
      </c>
      <c r="N217">
        <v>5.8833333333333337</v>
      </c>
      <c r="O217" s="3">
        <v>23.731444759206799</v>
      </c>
    </row>
    <row r="218" spans="1:15" x14ac:dyDescent="0.3">
      <c r="A218">
        <v>65</v>
      </c>
      <c r="B218">
        <v>64</v>
      </c>
      <c r="C218" t="s">
        <v>307</v>
      </c>
      <c r="D218" t="s">
        <v>20</v>
      </c>
      <c r="E218">
        <v>10.8809022</v>
      </c>
      <c r="F218">
        <v>106.7955379</v>
      </c>
      <c r="G218">
        <v>10.880685</v>
      </c>
      <c r="H218">
        <v>106.79552099999999</v>
      </c>
      <c r="I218" t="s">
        <v>48</v>
      </c>
      <c r="J218" t="s">
        <v>235</v>
      </c>
      <c r="K218">
        <v>525</v>
      </c>
      <c r="L218">
        <f t="shared" si="3"/>
        <v>0.52500000000000002</v>
      </c>
      <c r="M218" s="2">
        <v>62.171052631578952</v>
      </c>
      <c r="N218">
        <v>1.0361842105263159</v>
      </c>
      <c r="O218" s="3">
        <v>30.4</v>
      </c>
    </row>
    <row r="219" spans="1:15" x14ac:dyDescent="0.3">
      <c r="A219">
        <v>65</v>
      </c>
      <c r="B219">
        <v>46</v>
      </c>
      <c r="C219" t="s">
        <v>308</v>
      </c>
      <c r="D219" t="s">
        <v>16</v>
      </c>
      <c r="E219">
        <v>10.8809022</v>
      </c>
      <c r="F219">
        <v>106.7955379</v>
      </c>
      <c r="G219">
        <v>10.8799484</v>
      </c>
      <c r="H219">
        <v>106.78739659999999</v>
      </c>
      <c r="I219" t="s">
        <v>48</v>
      </c>
      <c r="J219" t="s">
        <v>227</v>
      </c>
      <c r="K219">
        <v>903</v>
      </c>
      <c r="L219">
        <f t="shared" si="3"/>
        <v>0.90300000000000002</v>
      </c>
      <c r="M219">
        <v>89</v>
      </c>
      <c r="N219">
        <v>1.4833333333333329</v>
      </c>
      <c r="O219" s="3">
        <v>36.525842696629212</v>
      </c>
    </row>
    <row r="220" spans="1:15" x14ac:dyDescent="0.3">
      <c r="A220">
        <v>66</v>
      </c>
      <c r="B220">
        <v>67</v>
      </c>
      <c r="C220" t="s">
        <v>309</v>
      </c>
      <c r="D220" t="s">
        <v>16</v>
      </c>
      <c r="E220">
        <v>10.871397999999999</v>
      </c>
      <c r="F220">
        <v>106.77133000000001</v>
      </c>
      <c r="G220">
        <v>10.8724455</v>
      </c>
      <c r="H220">
        <v>106.7681164</v>
      </c>
      <c r="I220" t="s">
        <v>266</v>
      </c>
      <c r="J220" t="s">
        <v>310</v>
      </c>
      <c r="K220">
        <v>370</v>
      </c>
      <c r="L220">
        <f t="shared" si="3"/>
        <v>0.37</v>
      </c>
      <c r="M220">
        <v>98</v>
      </c>
      <c r="N220">
        <v>1.6333333333333331</v>
      </c>
      <c r="O220" s="3">
        <v>13.59183673469388</v>
      </c>
    </row>
    <row r="221" spans="1:15" x14ac:dyDescent="0.3">
      <c r="A221">
        <v>67</v>
      </c>
      <c r="B221">
        <v>68</v>
      </c>
      <c r="C221" t="s">
        <v>311</v>
      </c>
      <c r="D221" t="s">
        <v>16</v>
      </c>
      <c r="E221">
        <v>10.8724455</v>
      </c>
      <c r="F221">
        <v>106.7681164</v>
      </c>
      <c r="G221">
        <v>10.874399800000001</v>
      </c>
      <c r="H221">
        <v>106.7656461</v>
      </c>
      <c r="I221" t="s">
        <v>310</v>
      </c>
      <c r="J221" t="s">
        <v>312</v>
      </c>
      <c r="K221">
        <v>443</v>
      </c>
      <c r="L221">
        <f t="shared" si="3"/>
        <v>0.443</v>
      </c>
      <c r="M221">
        <v>63</v>
      </c>
      <c r="N221">
        <v>1.05</v>
      </c>
      <c r="O221" s="3">
        <v>25.31428571428571</v>
      </c>
    </row>
    <row r="222" spans="1:15" x14ac:dyDescent="0.3">
      <c r="A222">
        <v>67</v>
      </c>
      <c r="B222">
        <v>87</v>
      </c>
      <c r="C222" t="s">
        <v>313</v>
      </c>
      <c r="D222" t="s">
        <v>20</v>
      </c>
      <c r="E222">
        <v>10.8724455</v>
      </c>
      <c r="F222">
        <v>106.7681164</v>
      </c>
      <c r="G222">
        <v>10.871355700000001</v>
      </c>
      <c r="H222">
        <v>106.77028319999999</v>
      </c>
      <c r="I222" t="s">
        <v>310</v>
      </c>
      <c r="J222" t="s">
        <v>314</v>
      </c>
      <c r="K222">
        <v>420</v>
      </c>
      <c r="L222">
        <f t="shared" si="3"/>
        <v>0.42</v>
      </c>
      <c r="M222">
        <v>125</v>
      </c>
      <c r="N222">
        <v>2.083333333333333</v>
      </c>
      <c r="O222" s="3">
        <v>12.096</v>
      </c>
    </row>
    <row r="223" spans="1:15" x14ac:dyDescent="0.3">
      <c r="A223">
        <v>68</v>
      </c>
      <c r="B223">
        <v>77</v>
      </c>
      <c r="C223" t="s">
        <v>315</v>
      </c>
      <c r="D223" t="s">
        <v>16</v>
      </c>
      <c r="E223">
        <v>10.874399800000001</v>
      </c>
      <c r="F223">
        <v>106.7656461</v>
      </c>
      <c r="G223">
        <v>10.879188900000001</v>
      </c>
      <c r="H223">
        <v>106.7746405</v>
      </c>
      <c r="I223" t="s">
        <v>312</v>
      </c>
      <c r="J223" t="s">
        <v>272</v>
      </c>
      <c r="K223">
        <v>1703</v>
      </c>
      <c r="L223">
        <f t="shared" si="3"/>
        <v>1.7030000000000001</v>
      </c>
      <c r="M223">
        <v>472</v>
      </c>
      <c r="N223">
        <v>7.8666666666666663</v>
      </c>
      <c r="O223" s="3">
        <v>12.988983050847461</v>
      </c>
    </row>
    <row r="224" spans="1:15" x14ac:dyDescent="0.3">
      <c r="A224">
        <v>68</v>
      </c>
      <c r="B224">
        <v>69</v>
      </c>
      <c r="C224" t="s">
        <v>316</v>
      </c>
      <c r="D224" t="s">
        <v>16</v>
      </c>
      <c r="E224">
        <v>10.874399800000001</v>
      </c>
      <c r="F224">
        <v>106.7656461</v>
      </c>
      <c r="G224">
        <v>10.877382000000001</v>
      </c>
      <c r="H224">
        <v>106.766628</v>
      </c>
      <c r="I224" t="s">
        <v>312</v>
      </c>
      <c r="J224" t="s">
        <v>271</v>
      </c>
      <c r="K224">
        <v>346</v>
      </c>
      <c r="L224">
        <f t="shared" si="3"/>
        <v>0.34599999999999997</v>
      </c>
      <c r="M224">
        <v>55</v>
      </c>
      <c r="N224">
        <v>0.91666666666666663</v>
      </c>
      <c r="O224" s="3">
        <v>22.647272727272721</v>
      </c>
    </row>
    <row r="225" spans="1:15" x14ac:dyDescent="0.3">
      <c r="A225">
        <v>68</v>
      </c>
      <c r="B225">
        <v>58</v>
      </c>
      <c r="C225" t="s">
        <v>317</v>
      </c>
      <c r="D225" t="s">
        <v>59</v>
      </c>
      <c r="E225">
        <v>10.874399800000001</v>
      </c>
      <c r="F225">
        <v>106.7656461</v>
      </c>
      <c r="G225">
        <v>10.87373</v>
      </c>
      <c r="H225">
        <v>106.7777662</v>
      </c>
      <c r="I225" t="s">
        <v>312</v>
      </c>
      <c r="J225" t="s">
        <v>254</v>
      </c>
      <c r="K225">
        <v>1803</v>
      </c>
      <c r="L225">
        <f t="shared" si="3"/>
        <v>1.8029999999999999</v>
      </c>
      <c r="M225" s="2">
        <v>246.86418438367627</v>
      </c>
      <c r="N225">
        <v>4.1144030730612711</v>
      </c>
      <c r="O225" s="3">
        <v>26.292999999999999</v>
      </c>
    </row>
    <row r="226" spans="1:15" x14ac:dyDescent="0.3">
      <c r="A226">
        <v>68</v>
      </c>
      <c r="B226">
        <v>61</v>
      </c>
      <c r="C226" t="s">
        <v>318</v>
      </c>
      <c r="D226" t="s">
        <v>59</v>
      </c>
      <c r="E226">
        <v>10.874399800000001</v>
      </c>
      <c r="F226">
        <v>106.7656461</v>
      </c>
      <c r="G226">
        <v>10.872350300000001</v>
      </c>
      <c r="H226">
        <v>106.7798379</v>
      </c>
      <c r="I226" t="s">
        <v>312</v>
      </c>
      <c r="J226" t="s">
        <v>269</v>
      </c>
      <c r="K226">
        <v>2254</v>
      </c>
      <c r="L226">
        <f t="shared" si="3"/>
        <v>2.254</v>
      </c>
      <c r="M226" s="2">
        <v>403.88233537404807</v>
      </c>
      <c r="N226">
        <v>6.7313722562341347</v>
      </c>
      <c r="O226" s="3">
        <v>20.091000000000001</v>
      </c>
    </row>
    <row r="227" spans="1:15" x14ac:dyDescent="0.3">
      <c r="A227">
        <v>68</v>
      </c>
      <c r="B227">
        <v>66</v>
      </c>
      <c r="C227" t="s">
        <v>319</v>
      </c>
      <c r="D227" t="s">
        <v>16</v>
      </c>
      <c r="E227">
        <v>10.874399800000001</v>
      </c>
      <c r="F227">
        <v>106.7656461</v>
      </c>
      <c r="G227">
        <v>10.871397999999999</v>
      </c>
      <c r="H227">
        <v>106.77133000000001</v>
      </c>
      <c r="I227" t="s">
        <v>312</v>
      </c>
      <c r="J227" t="s">
        <v>266</v>
      </c>
      <c r="K227">
        <v>2033</v>
      </c>
      <c r="L227">
        <f t="shared" si="3"/>
        <v>2.0329999999999999</v>
      </c>
      <c r="M227">
        <v>372</v>
      </c>
      <c r="N227">
        <v>6.2</v>
      </c>
      <c r="O227" s="3">
        <v>19.674193548387091</v>
      </c>
    </row>
    <row r="228" spans="1:15" x14ac:dyDescent="0.3">
      <c r="A228">
        <v>68</v>
      </c>
      <c r="B228">
        <v>89</v>
      </c>
      <c r="C228" t="s">
        <v>320</v>
      </c>
      <c r="D228" t="s">
        <v>59</v>
      </c>
      <c r="E228">
        <v>10.874399800000001</v>
      </c>
      <c r="F228">
        <v>106.7656461</v>
      </c>
      <c r="G228">
        <v>10.869238899999999</v>
      </c>
      <c r="H228">
        <v>106.77674949999999</v>
      </c>
      <c r="I228" t="s">
        <v>312</v>
      </c>
      <c r="J228" t="s">
        <v>321</v>
      </c>
      <c r="K228">
        <v>348</v>
      </c>
      <c r="L228">
        <f t="shared" si="3"/>
        <v>0.34799999999999998</v>
      </c>
      <c r="M228" s="2">
        <v>54.107281679191495</v>
      </c>
      <c r="N228">
        <v>0.90178802798652491</v>
      </c>
      <c r="O228" s="3">
        <v>23.154</v>
      </c>
    </row>
    <row r="229" spans="1:15" x14ac:dyDescent="0.3">
      <c r="A229">
        <v>69</v>
      </c>
      <c r="B229">
        <v>70</v>
      </c>
      <c r="C229" t="s">
        <v>322</v>
      </c>
      <c r="D229" t="s">
        <v>16</v>
      </c>
      <c r="E229">
        <v>10.877382000000001</v>
      </c>
      <c r="F229">
        <v>106.766628</v>
      </c>
      <c r="G229">
        <v>10.88015</v>
      </c>
      <c r="H229">
        <v>106.768066</v>
      </c>
      <c r="I229" t="s">
        <v>271</v>
      </c>
      <c r="J229" t="s">
        <v>323</v>
      </c>
      <c r="K229">
        <v>361</v>
      </c>
      <c r="L229">
        <f t="shared" si="3"/>
        <v>0.36099999999999999</v>
      </c>
      <c r="M229">
        <v>113</v>
      </c>
      <c r="N229">
        <v>1.8833333333333331</v>
      </c>
      <c r="O229" s="3">
        <v>11.500884955752211</v>
      </c>
    </row>
    <row r="230" spans="1:15" x14ac:dyDescent="0.3">
      <c r="A230">
        <v>69</v>
      </c>
      <c r="B230">
        <v>77</v>
      </c>
      <c r="C230" t="s">
        <v>324</v>
      </c>
      <c r="D230" t="s">
        <v>16</v>
      </c>
      <c r="E230">
        <v>10.877382000000001</v>
      </c>
      <c r="F230">
        <v>106.766628</v>
      </c>
      <c r="G230">
        <v>10.879188900000001</v>
      </c>
      <c r="H230">
        <v>106.7746405</v>
      </c>
      <c r="I230" t="s">
        <v>271</v>
      </c>
      <c r="J230" t="s">
        <v>272</v>
      </c>
      <c r="K230">
        <v>1269</v>
      </c>
      <c r="L230">
        <f t="shared" si="3"/>
        <v>1.2689999999999999</v>
      </c>
      <c r="M230">
        <v>443</v>
      </c>
      <c r="N230">
        <v>7.3833333333333337</v>
      </c>
      <c r="O230" s="3">
        <v>10.31241534988713</v>
      </c>
    </row>
    <row r="231" spans="1:15" x14ac:dyDescent="0.3">
      <c r="A231">
        <v>69</v>
      </c>
      <c r="B231">
        <v>74</v>
      </c>
      <c r="C231" t="s">
        <v>325</v>
      </c>
      <c r="D231" t="s">
        <v>16</v>
      </c>
      <c r="E231">
        <v>10.877382000000001</v>
      </c>
      <c r="F231">
        <v>106.766628</v>
      </c>
      <c r="G231">
        <v>10.881822</v>
      </c>
      <c r="H231">
        <v>106.7711123</v>
      </c>
      <c r="I231" t="s">
        <v>271</v>
      </c>
      <c r="J231" t="s">
        <v>326</v>
      </c>
      <c r="K231">
        <v>1239</v>
      </c>
      <c r="L231">
        <f t="shared" si="3"/>
        <v>1.2390000000000001</v>
      </c>
      <c r="M231">
        <v>313</v>
      </c>
      <c r="N231">
        <v>5.2166666666666668</v>
      </c>
      <c r="O231" s="3">
        <v>14.250479233226841</v>
      </c>
    </row>
    <row r="232" spans="1:15" x14ac:dyDescent="0.3">
      <c r="A232">
        <v>70</v>
      </c>
      <c r="B232">
        <v>71</v>
      </c>
      <c r="C232" t="s">
        <v>327</v>
      </c>
      <c r="D232" t="s">
        <v>16</v>
      </c>
      <c r="E232">
        <v>10.88015</v>
      </c>
      <c r="F232">
        <v>106.768066</v>
      </c>
      <c r="G232">
        <v>10.881807</v>
      </c>
      <c r="H232">
        <v>106.769487</v>
      </c>
      <c r="I232" t="s">
        <v>323</v>
      </c>
      <c r="J232" t="s">
        <v>328</v>
      </c>
      <c r="K232">
        <v>240</v>
      </c>
      <c r="L232">
        <f t="shared" si="3"/>
        <v>0.24</v>
      </c>
      <c r="M232">
        <v>58</v>
      </c>
      <c r="N232">
        <v>0.96666666666666667</v>
      </c>
      <c r="O232" s="3">
        <v>14.896551724137931</v>
      </c>
    </row>
    <row r="233" spans="1:15" x14ac:dyDescent="0.3">
      <c r="A233">
        <v>71</v>
      </c>
      <c r="B233">
        <v>76</v>
      </c>
      <c r="C233" t="s">
        <v>329</v>
      </c>
      <c r="D233" t="s">
        <v>16</v>
      </c>
      <c r="E233">
        <v>10.881807</v>
      </c>
      <c r="F233">
        <v>106.769487</v>
      </c>
      <c r="G233">
        <v>10.8808971</v>
      </c>
      <c r="H233">
        <v>106.7726397</v>
      </c>
      <c r="I233" t="s">
        <v>328</v>
      </c>
      <c r="J233" t="s">
        <v>330</v>
      </c>
      <c r="K233">
        <v>422</v>
      </c>
      <c r="L233">
        <f t="shared" si="3"/>
        <v>0.42199999999999999</v>
      </c>
      <c r="M233" s="2">
        <v>67.769995985189809</v>
      </c>
      <c r="N233">
        <v>1.1294999330864968</v>
      </c>
      <c r="O233" s="3">
        <v>22.417000000000002</v>
      </c>
    </row>
    <row r="234" spans="1:15" x14ac:dyDescent="0.3">
      <c r="A234">
        <v>71</v>
      </c>
      <c r="B234">
        <v>72</v>
      </c>
      <c r="C234" t="s">
        <v>331</v>
      </c>
      <c r="D234" t="s">
        <v>16</v>
      </c>
      <c r="E234">
        <v>10.881807</v>
      </c>
      <c r="F234">
        <v>106.769487</v>
      </c>
      <c r="G234">
        <v>10.885452000000001</v>
      </c>
      <c r="H234">
        <v>106.77256800000001</v>
      </c>
      <c r="I234" t="s">
        <v>328</v>
      </c>
      <c r="J234" t="s">
        <v>332</v>
      </c>
      <c r="K234">
        <v>526</v>
      </c>
      <c r="L234">
        <f t="shared" si="3"/>
        <v>0.52600000000000002</v>
      </c>
      <c r="M234">
        <v>69</v>
      </c>
      <c r="N234">
        <v>1.1499999999999999</v>
      </c>
      <c r="O234" s="3">
        <v>27.443478260869568</v>
      </c>
    </row>
    <row r="235" spans="1:15" x14ac:dyDescent="0.3">
      <c r="A235">
        <v>72</v>
      </c>
      <c r="B235">
        <v>73</v>
      </c>
      <c r="C235" t="s">
        <v>333</v>
      </c>
      <c r="D235" t="s">
        <v>16</v>
      </c>
      <c r="E235">
        <v>10.885452000000001</v>
      </c>
      <c r="F235">
        <v>106.77256800000001</v>
      </c>
      <c r="G235">
        <v>10.8869185</v>
      </c>
      <c r="H235">
        <v>106.7744084</v>
      </c>
      <c r="I235" t="s">
        <v>332</v>
      </c>
      <c r="J235" t="s">
        <v>334</v>
      </c>
      <c r="K235">
        <v>260</v>
      </c>
      <c r="L235">
        <f t="shared" si="3"/>
        <v>0.26</v>
      </c>
      <c r="M235">
        <v>29</v>
      </c>
      <c r="N235">
        <v>0.48333333333333328</v>
      </c>
      <c r="O235" s="3">
        <v>32.275862068965523</v>
      </c>
    </row>
    <row r="236" spans="1:15" x14ac:dyDescent="0.3">
      <c r="A236">
        <v>73</v>
      </c>
      <c r="B236">
        <v>47</v>
      </c>
      <c r="C236" t="s">
        <v>335</v>
      </c>
      <c r="D236" t="s">
        <v>59</v>
      </c>
      <c r="E236">
        <v>10.8869185</v>
      </c>
      <c r="F236">
        <v>106.7744084</v>
      </c>
      <c r="G236">
        <v>10.8797271</v>
      </c>
      <c r="H236">
        <v>106.78738679999999</v>
      </c>
      <c r="I236" t="s">
        <v>334</v>
      </c>
      <c r="J236" t="s">
        <v>202</v>
      </c>
      <c r="K236">
        <v>2206</v>
      </c>
      <c r="L236">
        <f t="shared" si="3"/>
        <v>2.206</v>
      </c>
      <c r="M236">
        <v>426</v>
      </c>
      <c r="N236">
        <v>7.1</v>
      </c>
      <c r="O236" s="3">
        <v>18.642253521126761</v>
      </c>
    </row>
    <row r="237" spans="1:15" x14ac:dyDescent="0.3">
      <c r="A237">
        <v>73</v>
      </c>
      <c r="B237">
        <v>50</v>
      </c>
      <c r="C237" t="s">
        <v>336</v>
      </c>
      <c r="D237" t="s">
        <v>16</v>
      </c>
      <c r="E237">
        <v>10.8869185</v>
      </c>
      <c r="F237">
        <v>106.7744084</v>
      </c>
      <c r="G237">
        <v>10.883162199999999</v>
      </c>
      <c r="H237">
        <v>106.779234</v>
      </c>
      <c r="I237" t="s">
        <v>334</v>
      </c>
      <c r="J237" t="s">
        <v>239</v>
      </c>
      <c r="K237">
        <v>3069</v>
      </c>
      <c r="L237">
        <f t="shared" si="3"/>
        <v>3.069</v>
      </c>
      <c r="M237" s="2">
        <v>599.34902896821086</v>
      </c>
      <c r="N237">
        <v>9.9891504828035149</v>
      </c>
      <c r="O237" s="3">
        <v>18.434000000000001</v>
      </c>
    </row>
    <row r="238" spans="1:15" x14ac:dyDescent="0.3">
      <c r="A238">
        <v>73</v>
      </c>
      <c r="B238">
        <v>60</v>
      </c>
      <c r="C238" t="s">
        <v>337</v>
      </c>
      <c r="D238" t="s">
        <v>16</v>
      </c>
      <c r="E238">
        <v>10.8869185</v>
      </c>
      <c r="F238">
        <v>106.7744084</v>
      </c>
      <c r="G238">
        <v>10.8726381</v>
      </c>
      <c r="H238">
        <v>106.7793856</v>
      </c>
      <c r="I238" t="s">
        <v>334</v>
      </c>
      <c r="J238" t="s">
        <v>230</v>
      </c>
      <c r="K238">
        <v>3653</v>
      </c>
      <c r="L238">
        <f t="shared" si="3"/>
        <v>3.653</v>
      </c>
      <c r="M238" s="2">
        <v>635.0282485875706</v>
      </c>
      <c r="N238">
        <v>10.583804143126176</v>
      </c>
      <c r="O238" s="3">
        <v>20.709</v>
      </c>
    </row>
    <row r="239" spans="1:15" x14ac:dyDescent="0.3">
      <c r="A239">
        <v>74</v>
      </c>
      <c r="B239">
        <v>83</v>
      </c>
      <c r="C239" t="s">
        <v>338</v>
      </c>
      <c r="D239" t="s">
        <v>59</v>
      </c>
      <c r="E239">
        <v>10.881822</v>
      </c>
      <c r="F239">
        <v>106.7711123</v>
      </c>
      <c r="G239">
        <v>10.8819201</v>
      </c>
      <c r="H239">
        <v>106.76926709999999</v>
      </c>
      <c r="I239" t="s">
        <v>326</v>
      </c>
      <c r="J239" t="s">
        <v>339</v>
      </c>
      <c r="K239">
        <v>238</v>
      </c>
      <c r="L239">
        <f t="shared" si="3"/>
        <v>0.23799999999999999</v>
      </c>
      <c r="M239">
        <v>71</v>
      </c>
      <c r="N239">
        <v>1.1833333333333329</v>
      </c>
      <c r="O239" s="3">
        <v>12.06760563380282</v>
      </c>
    </row>
    <row r="240" spans="1:15" x14ac:dyDescent="0.3">
      <c r="A240">
        <v>74</v>
      </c>
      <c r="B240">
        <v>72</v>
      </c>
      <c r="C240" t="s">
        <v>340</v>
      </c>
      <c r="D240" t="s">
        <v>16</v>
      </c>
      <c r="E240">
        <v>10.881822</v>
      </c>
      <c r="F240">
        <v>106.7711123</v>
      </c>
      <c r="G240">
        <v>10.885452000000001</v>
      </c>
      <c r="H240">
        <v>106.77256800000001</v>
      </c>
      <c r="I240" t="s">
        <v>326</v>
      </c>
      <c r="J240" t="s">
        <v>332</v>
      </c>
      <c r="K240">
        <v>595</v>
      </c>
      <c r="L240">
        <f t="shared" si="3"/>
        <v>0.59499999999999997</v>
      </c>
      <c r="M240">
        <v>102</v>
      </c>
      <c r="N240">
        <v>1.7</v>
      </c>
      <c r="O240" s="3">
        <v>21</v>
      </c>
    </row>
    <row r="241" spans="1:15" x14ac:dyDescent="0.3">
      <c r="A241">
        <v>75</v>
      </c>
      <c r="B241">
        <v>74</v>
      </c>
      <c r="C241" t="s">
        <v>341</v>
      </c>
      <c r="D241" t="s">
        <v>16</v>
      </c>
      <c r="E241">
        <v>10.8799244</v>
      </c>
      <c r="F241">
        <v>106.7741556</v>
      </c>
      <c r="G241">
        <v>10.881822</v>
      </c>
      <c r="H241">
        <v>106.7711123</v>
      </c>
      <c r="I241" t="s">
        <v>295</v>
      </c>
      <c r="J241" t="s">
        <v>326</v>
      </c>
      <c r="K241">
        <v>393</v>
      </c>
      <c r="L241">
        <f t="shared" si="3"/>
        <v>0.39300000000000002</v>
      </c>
      <c r="M241" s="2">
        <v>53.092164515160611</v>
      </c>
      <c r="N241">
        <v>0.88486940858601015</v>
      </c>
      <c r="O241" s="3">
        <v>26.648</v>
      </c>
    </row>
    <row r="242" spans="1:15" x14ac:dyDescent="0.3">
      <c r="A242">
        <v>75</v>
      </c>
      <c r="B242">
        <v>70</v>
      </c>
      <c r="C242" t="s">
        <v>342</v>
      </c>
      <c r="D242" t="s">
        <v>16</v>
      </c>
      <c r="E242">
        <v>10.8799244</v>
      </c>
      <c r="F242">
        <v>106.7741556</v>
      </c>
      <c r="G242">
        <v>10.88015</v>
      </c>
      <c r="H242">
        <v>106.768066</v>
      </c>
      <c r="I242" t="s">
        <v>295</v>
      </c>
      <c r="J242" t="s">
        <v>323</v>
      </c>
      <c r="K242">
        <v>1206</v>
      </c>
      <c r="L242">
        <f t="shared" si="3"/>
        <v>1.206</v>
      </c>
      <c r="M242">
        <v>348</v>
      </c>
      <c r="N242">
        <v>5.8</v>
      </c>
      <c r="O242" s="3">
        <v>12.475862068965521</v>
      </c>
    </row>
    <row r="243" spans="1:15" x14ac:dyDescent="0.3">
      <c r="A243">
        <v>75</v>
      </c>
      <c r="B243">
        <v>66</v>
      </c>
      <c r="C243" t="s">
        <v>343</v>
      </c>
      <c r="D243" t="s">
        <v>16</v>
      </c>
      <c r="E243">
        <v>10.8799244</v>
      </c>
      <c r="F243">
        <v>106.7741556</v>
      </c>
      <c r="G243">
        <v>10.871397999999999</v>
      </c>
      <c r="H243">
        <v>106.77133000000001</v>
      </c>
      <c r="I243" t="s">
        <v>295</v>
      </c>
      <c r="J243" t="s">
        <v>266</v>
      </c>
      <c r="K243">
        <v>2151</v>
      </c>
      <c r="L243">
        <f t="shared" si="3"/>
        <v>2.1509999999999998</v>
      </c>
      <c r="M243">
        <v>468</v>
      </c>
      <c r="N243">
        <v>7.8</v>
      </c>
      <c r="O243" s="3">
        <v>16.546153846153839</v>
      </c>
    </row>
    <row r="244" spans="1:15" x14ac:dyDescent="0.3">
      <c r="A244">
        <v>76</v>
      </c>
      <c r="B244">
        <v>77</v>
      </c>
      <c r="C244" t="s">
        <v>345</v>
      </c>
      <c r="D244" t="s">
        <v>59</v>
      </c>
      <c r="E244">
        <v>10.8808971</v>
      </c>
      <c r="F244">
        <v>106.7726397</v>
      </c>
      <c r="G244">
        <v>10.879188900000001</v>
      </c>
      <c r="H244">
        <v>106.7746405</v>
      </c>
      <c r="I244" t="s">
        <v>330</v>
      </c>
      <c r="J244" t="s">
        <v>272</v>
      </c>
      <c r="K244">
        <v>293</v>
      </c>
      <c r="L244">
        <f t="shared" si="3"/>
        <v>0.29299999999999998</v>
      </c>
      <c r="M244" s="2">
        <v>28.308418990365258</v>
      </c>
      <c r="N244">
        <v>0.47180698317275432</v>
      </c>
      <c r="O244" s="3">
        <v>37.261000000000003</v>
      </c>
    </row>
    <row r="245" spans="1:15" x14ac:dyDescent="0.3">
      <c r="A245">
        <v>76</v>
      </c>
      <c r="B245">
        <v>70</v>
      </c>
      <c r="C245" t="s">
        <v>346</v>
      </c>
      <c r="D245" t="s">
        <v>16</v>
      </c>
      <c r="E245">
        <v>10.8808971</v>
      </c>
      <c r="F245">
        <v>106.7726397</v>
      </c>
      <c r="G245">
        <v>10.88015</v>
      </c>
      <c r="H245">
        <v>106.768066</v>
      </c>
      <c r="I245" t="s">
        <v>330</v>
      </c>
      <c r="J245" t="s">
        <v>323</v>
      </c>
      <c r="K245">
        <v>1201</v>
      </c>
      <c r="L245">
        <f t="shared" si="3"/>
        <v>1.2010000000000001</v>
      </c>
      <c r="M245">
        <v>343</v>
      </c>
      <c r="N245">
        <v>5.7166666666666668</v>
      </c>
      <c r="O245" s="3">
        <v>12.605247813411079</v>
      </c>
    </row>
    <row r="246" spans="1:15" x14ac:dyDescent="0.3">
      <c r="A246">
        <v>76</v>
      </c>
      <c r="B246">
        <v>66</v>
      </c>
      <c r="C246" t="s">
        <v>347</v>
      </c>
      <c r="D246" t="s">
        <v>16</v>
      </c>
      <c r="E246">
        <v>10.8808971</v>
      </c>
      <c r="F246">
        <v>106.7726397</v>
      </c>
      <c r="G246">
        <v>10.871397999999999</v>
      </c>
      <c r="H246">
        <v>106.77133000000001</v>
      </c>
      <c r="I246" t="s">
        <v>330</v>
      </c>
      <c r="J246" t="s">
        <v>266</v>
      </c>
      <c r="K246">
        <v>2145</v>
      </c>
      <c r="L246">
        <f t="shared" si="3"/>
        <v>2.145</v>
      </c>
      <c r="M246">
        <v>463</v>
      </c>
      <c r="N246">
        <v>7.7166666666666668</v>
      </c>
      <c r="O246" s="3">
        <v>16.678185745140389</v>
      </c>
    </row>
    <row r="247" spans="1:15" x14ac:dyDescent="0.3">
      <c r="A247">
        <v>76</v>
      </c>
      <c r="B247">
        <v>89</v>
      </c>
      <c r="C247" t="s">
        <v>348</v>
      </c>
      <c r="D247" t="s">
        <v>59</v>
      </c>
      <c r="E247">
        <v>10.8808971</v>
      </c>
      <c r="F247">
        <v>106.7726397</v>
      </c>
      <c r="G247">
        <v>10.869238899999999</v>
      </c>
      <c r="H247">
        <v>106.77674949999999</v>
      </c>
      <c r="I247" t="s">
        <v>330</v>
      </c>
      <c r="J247" t="s">
        <v>321</v>
      </c>
      <c r="K247">
        <v>1460</v>
      </c>
      <c r="L247">
        <f t="shared" si="3"/>
        <v>1.46</v>
      </c>
      <c r="M247" s="2">
        <v>288</v>
      </c>
      <c r="N247">
        <v>4.8</v>
      </c>
      <c r="O247" s="3">
        <v>18.25</v>
      </c>
    </row>
    <row r="248" spans="1:15" x14ac:dyDescent="0.3">
      <c r="A248">
        <v>77</v>
      </c>
      <c r="B248">
        <v>62</v>
      </c>
      <c r="C248" t="s">
        <v>349</v>
      </c>
      <c r="D248" t="s">
        <v>16</v>
      </c>
      <c r="E248">
        <v>10.879188900000001</v>
      </c>
      <c r="F248">
        <v>106.7746405</v>
      </c>
      <c r="G248">
        <v>10.8758721</v>
      </c>
      <c r="H248">
        <v>106.77776609999999</v>
      </c>
      <c r="I248" t="s">
        <v>272</v>
      </c>
      <c r="J248" t="s">
        <v>292</v>
      </c>
      <c r="K248">
        <v>562</v>
      </c>
      <c r="L248">
        <f t="shared" si="3"/>
        <v>0.56200000000000006</v>
      </c>
      <c r="M248">
        <v>121</v>
      </c>
      <c r="N248">
        <v>2.0166666666666671</v>
      </c>
      <c r="O248" s="3">
        <v>16.720661157024789</v>
      </c>
    </row>
    <row r="249" spans="1:15" x14ac:dyDescent="0.3">
      <c r="A249">
        <v>78</v>
      </c>
      <c r="B249">
        <v>79</v>
      </c>
      <c r="C249" t="s">
        <v>350</v>
      </c>
      <c r="D249" t="s">
        <v>20</v>
      </c>
      <c r="E249">
        <v>10.889412999999999</v>
      </c>
      <c r="F249">
        <v>106.8052248</v>
      </c>
      <c r="G249">
        <v>10.8892959</v>
      </c>
      <c r="H249">
        <v>106.8055626</v>
      </c>
      <c r="I249" t="s">
        <v>188</v>
      </c>
      <c r="J249" t="s">
        <v>103</v>
      </c>
      <c r="K249">
        <v>24</v>
      </c>
      <c r="L249">
        <f t="shared" si="3"/>
        <v>2.4E-2</v>
      </c>
      <c r="M249">
        <v>3</v>
      </c>
      <c r="N249">
        <v>0.05</v>
      </c>
      <c r="O249" s="3">
        <v>28.8</v>
      </c>
    </row>
    <row r="250" spans="1:15" x14ac:dyDescent="0.3">
      <c r="A250">
        <v>78</v>
      </c>
      <c r="B250">
        <v>40</v>
      </c>
      <c r="C250" t="s">
        <v>351</v>
      </c>
      <c r="D250" t="s">
        <v>59</v>
      </c>
      <c r="E250">
        <v>10.889412999999999</v>
      </c>
      <c r="F250">
        <v>106.8052248</v>
      </c>
      <c r="G250">
        <v>10.8876326</v>
      </c>
      <c r="H250">
        <v>106.8046342</v>
      </c>
      <c r="I250" t="s">
        <v>188</v>
      </c>
      <c r="J250" t="s">
        <v>105</v>
      </c>
      <c r="K250">
        <v>241</v>
      </c>
      <c r="L250">
        <f t="shared" si="3"/>
        <v>0.24099999999999999</v>
      </c>
      <c r="M250">
        <v>44</v>
      </c>
      <c r="N250">
        <v>0.73333333333333328</v>
      </c>
      <c r="O250" s="3">
        <v>19.718181818181819</v>
      </c>
    </row>
    <row r="251" spans="1:15" x14ac:dyDescent="0.3">
      <c r="A251">
        <v>78</v>
      </c>
      <c r="B251">
        <v>15</v>
      </c>
      <c r="C251" t="s">
        <v>352</v>
      </c>
      <c r="D251" t="s">
        <v>59</v>
      </c>
      <c r="E251">
        <v>10.889412999999999</v>
      </c>
      <c r="F251">
        <v>106.8052248</v>
      </c>
      <c r="G251">
        <v>10.880791</v>
      </c>
      <c r="H251">
        <v>106.81063399999999</v>
      </c>
      <c r="I251" t="s">
        <v>188</v>
      </c>
      <c r="J251" t="s">
        <v>39</v>
      </c>
      <c r="K251">
        <v>1459</v>
      </c>
      <c r="L251">
        <f t="shared" si="3"/>
        <v>1.4590000000000001</v>
      </c>
      <c r="M251">
        <v>163</v>
      </c>
      <c r="N251">
        <v>2.7166666666666668</v>
      </c>
      <c r="O251" s="3">
        <v>32.223312883435582</v>
      </c>
    </row>
    <row r="252" spans="1:15" x14ac:dyDescent="0.3">
      <c r="A252">
        <v>78</v>
      </c>
      <c r="B252">
        <v>35</v>
      </c>
      <c r="C252" t="s">
        <v>353</v>
      </c>
      <c r="D252" t="s">
        <v>16</v>
      </c>
      <c r="E252">
        <v>10.889412999999999</v>
      </c>
      <c r="F252">
        <v>106.8052248</v>
      </c>
      <c r="G252">
        <v>10.8809737</v>
      </c>
      <c r="H252">
        <v>106.8142454</v>
      </c>
      <c r="I252" t="s">
        <v>188</v>
      </c>
      <c r="J252" t="s">
        <v>41</v>
      </c>
      <c r="K252">
        <v>1490</v>
      </c>
      <c r="L252">
        <f t="shared" si="3"/>
        <v>1.49</v>
      </c>
      <c r="M252" s="2">
        <v>186.14658523042755</v>
      </c>
      <c r="N252">
        <v>3.1024430871737922</v>
      </c>
      <c r="O252" s="3">
        <v>28.815999999999999</v>
      </c>
    </row>
    <row r="253" spans="1:15" x14ac:dyDescent="0.3">
      <c r="A253">
        <v>79</v>
      </c>
      <c r="B253">
        <v>78</v>
      </c>
      <c r="C253" t="s">
        <v>354</v>
      </c>
      <c r="D253" t="s">
        <v>20</v>
      </c>
      <c r="E253">
        <v>10.8892959</v>
      </c>
      <c r="F253">
        <v>106.8055626</v>
      </c>
      <c r="G253">
        <v>10.889412999999999</v>
      </c>
      <c r="H253">
        <v>106.8052248</v>
      </c>
      <c r="I253" t="s">
        <v>103</v>
      </c>
      <c r="J253" t="s">
        <v>188</v>
      </c>
      <c r="K253">
        <v>24</v>
      </c>
      <c r="L253">
        <f t="shared" si="3"/>
        <v>2.4E-2</v>
      </c>
      <c r="M253">
        <v>2</v>
      </c>
      <c r="N253">
        <v>3.3333333333333333E-2</v>
      </c>
      <c r="O253" s="3">
        <v>43.2</v>
      </c>
    </row>
    <row r="254" spans="1:15" x14ac:dyDescent="0.3">
      <c r="A254">
        <v>79</v>
      </c>
      <c r="B254">
        <v>37</v>
      </c>
      <c r="C254" t="s">
        <v>355</v>
      </c>
      <c r="D254" t="s">
        <v>59</v>
      </c>
      <c r="E254">
        <v>10.8892959</v>
      </c>
      <c r="F254">
        <v>106.8055626</v>
      </c>
      <c r="G254">
        <v>10.891579</v>
      </c>
      <c r="H254">
        <v>106.80068</v>
      </c>
      <c r="I254" t="s">
        <v>103</v>
      </c>
      <c r="J254" t="s">
        <v>186</v>
      </c>
      <c r="K254">
        <v>654</v>
      </c>
      <c r="L254">
        <f t="shared" si="3"/>
        <v>0.65400000000000003</v>
      </c>
      <c r="M254">
        <v>83</v>
      </c>
      <c r="N254">
        <v>1.3833333333333331</v>
      </c>
      <c r="O254" s="3">
        <v>28.36626506024097</v>
      </c>
    </row>
    <row r="255" spans="1:15" x14ac:dyDescent="0.3">
      <c r="A255">
        <v>80</v>
      </c>
      <c r="B255">
        <v>81</v>
      </c>
      <c r="C255" t="s">
        <v>356</v>
      </c>
      <c r="D255" t="s">
        <v>16</v>
      </c>
      <c r="E255">
        <v>10.865682400000001</v>
      </c>
      <c r="F255">
        <v>106.80160789999999</v>
      </c>
      <c r="G255">
        <v>10.873553100000001</v>
      </c>
      <c r="H255">
        <v>106.8094979</v>
      </c>
      <c r="I255" t="s">
        <v>357</v>
      </c>
      <c r="J255" t="s">
        <v>170</v>
      </c>
      <c r="K255">
        <v>1237</v>
      </c>
      <c r="L255">
        <f t="shared" ref="L255:L272" si="4">K255/1000</f>
        <v>1.2370000000000001</v>
      </c>
      <c r="M255">
        <v>178</v>
      </c>
      <c r="N255">
        <v>2.9666666666666668</v>
      </c>
      <c r="O255" s="3">
        <v>25.01797752808989</v>
      </c>
    </row>
    <row r="256" spans="1:15" x14ac:dyDescent="0.3">
      <c r="A256">
        <v>81</v>
      </c>
      <c r="B256">
        <v>8</v>
      </c>
      <c r="C256" t="s">
        <v>358</v>
      </c>
      <c r="D256" t="s">
        <v>16</v>
      </c>
      <c r="E256">
        <v>10.873553100000001</v>
      </c>
      <c r="F256">
        <v>106.8094979</v>
      </c>
      <c r="G256">
        <v>10.874314099999999</v>
      </c>
      <c r="H256">
        <v>106.80705399999999</v>
      </c>
      <c r="I256" t="s">
        <v>170</v>
      </c>
      <c r="J256" t="s">
        <v>70</v>
      </c>
      <c r="K256">
        <v>528</v>
      </c>
      <c r="L256">
        <f t="shared" si="4"/>
        <v>0.52800000000000002</v>
      </c>
      <c r="M256">
        <v>122</v>
      </c>
      <c r="N256">
        <v>2.0333333333333332</v>
      </c>
      <c r="O256" s="3">
        <v>15.580327868852461</v>
      </c>
    </row>
    <row r="257" spans="1:15" x14ac:dyDescent="0.3">
      <c r="A257">
        <v>81</v>
      </c>
      <c r="B257">
        <v>33</v>
      </c>
      <c r="C257" t="s">
        <v>359</v>
      </c>
      <c r="D257" t="s">
        <v>59</v>
      </c>
      <c r="E257">
        <v>10.873553100000001</v>
      </c>
      <c r="F257">
        <v>106.8094979</v>
      </c>
      <c r="G257">
        <v>10.8713888</v>
      </c>
      <c r="H257">
        <v>106.80665980000001</v>
      </c>
      <c r="I257" t="s">
        <v>170</v>
      </c>
      <c r="J257" t="s">
        <v>68</v>
      </c>
      <c r="K257">
        <v>646</v>
      </c>
      <c r="L257">
        <f t="shared" si="4"/>
        <v>0.64600000000000002</v>
      </c>
      <c r="M257">
        <v>119</v>
      </c>
      <c r="N257">
        <v>1.9833333333333329</v>
      </c>
      <c r="O257" s="3">
        <v>19.542857142857141</v>
      </c>
    </row>
    <row r="258" spans="1:15" x14ac:dyDescent="0.3">
      <c r="A258">
        <v>82</v>
      </c>
      <c r="B258">
        <v>83</v>
      </c>
      <c r="C258" t="s">
        <v>360</v>
      </c>
      <c r="D258" t="s">
        <v>59</v>
      </c>
      <c r="E258">
        <v>10.885494</v>
      </c>
      <c r="F258">
        <v>106.772271</v>
      </c>
      <c r="G258">
        <v>10.8819201</v>
      </c>
      <c r="H258">
        <v>106.76926709999999</v>
      </c>
      <c r="I258" t="s">
        <v>232</v>
      </c>
      <c r="J258" t="s">
        <v>339</v>
      </c>
      <c r="K258">
        <v>514</v>
      </c>
      <c r="L258">
        <f t="shared" si="4"/>
        <v>0.51400000000000001</v>
      </c>
      <c r="M258">
        <v>63</v>
      </c>
      <c r="N258">
        <v>1.05</v>
      </c>
      <c r="O258" s="3">
        <v>29.37142857142857</v>
      </c>
    </row>
    <row r="259" spans="1:15" x14ac:dyDescent="0.3">
      <c r="A259">
        <v>82</v>
      </c>
      <c r="B259">
        <v>76</v>
      </c>
      <c r="C259" t="s">
        <v>361</v>
      </c>
      <c r="D259" t="s">
        <v>59</v>
      </c>
      <c r="E259">
        <v>10.885494</v>
      </c>
      <c r="F259">
        <v>106.772271</v>
      </c>
      <c r="G259">
        <v>10.8808971</v>
      </c>
      <c r="H259">
        <v>106.7726397</v>
      </c>
      <c r="I259" t="s">
        <v>232</v>
      </c>
      <c r="J259" t="s">
        <v>330</v>
      </c>
      <c r="K259">
        <v>794</v>
      </c>
      <c r="L259">
        <f t="shared" si="4"/>
        <v>0.79400000000000004</v>
      </c>
      <c r="M259" s="2">
        <v>109.34547262920317</v>
      </c>
      <c r="N259">
        <v>1.8224245438200528</v>
      </c>
      <c r="O259" s="3">
        <v>26.140999999999998</v>
      </c>
    </row>
    <row r="260" spans="1:15" x14ac:dyDescent="0.3">
      <c r="A260">
        <v>83</v>
      </c>
      <c r="B260">
        <v>84</v>
      </c>
      <c r="C260" t="s">
        <v>362</v>
      </c>
      <c r="D260" t="s">
        <v>59</v>
      </c>
      <c r="E260">
        <v>10.8819201</v>
      </c>
      <c r="F260">
        <v>106.76926709999999</v>
      </c>
      <c r="G260">
        <v>10.880158</v>
      </c>
      <c r="H260">
        <v>106.76774399999999</v>
      </c>
      <c r="I260" t="s">
        <v>339</v>
      </c>
      <c r="J260" t="s">
        <v>363</v>
      </c>
      <c r="K260">
        <v>256</v>
      </c>
      <c r="L260">
        <f t="shared" si="4"/>
        <v>0.25600000000000001</v>
      </c>
      <c r="M260">
        <v>55</v>
      </c>
      <c r="N260">
        <v>0.91666666666666663</v>
      </c>
      <c r="O260" s="3">
        <v>16.756363636363641</v>
      </c>
    </row>
    <row r="261" spans="1:15" x14ac:dyDescent="0.3">
      <c r="A261">
        <v>84</v>
      </c>
      <c r="B261">
        <v>85</v>
      </c>
      <c r="C261" t="s">
        <v>364</v>
      </c>
      <c r="D261" t="s">
        <v>59</v>
      </c>
      <c r="E261">
        <v>10.880158</v>
      </c>
      <c r="F261">
        <v>106.76774399999999</v>
      </c>
      <c r="G261">
        <v>10.877530500000001</v>
      </c>
      <c r="H261">
        <v>106.7664046</v>
      </c>
      <c r="I261" t="s">
        <v>363</v>
      </c>
      <c r="J261" t="s">
        <v>344</v>
      </c>
      <c r="K261">
        <v>334</v>
      </c>
      <c r="L261">
        <f t="shared" si="4"/>
        <v>0.33400000000000002</v>
      </c>
      <c r="M261">
        <v>45</v>
      </c>
      <c r="N261">
        <v>0.75</v>
      </c>
      <c r="O261" s="3">
        <v>26.72</v>
      </c>
    </row>
    <row r="262" spans="1:15" x14ac:dyDescent="0.3">
      <c r="A262">
        <v>85</v>
      </c>
      <c r="B262">
        <v>86</v>
      </c>
      <c r="C262" t="s">
        <v>365</v>
      </c>
      <c r="D262" t="s">
        <v>59</v>
      </c>
      <c r="E262">
        <v>10.877530500000001</v>
      </c>
      <c r="F262">
        <v>106.7664046</v>
      </c>
      <c r="G262">
        <v>10.8742961</v>
      </c>
      <c r="H262">
        <v>106.7653083</v>
      </c>
      <c r="I262" t="s">
        <v>344</v>
      </c>
      <c r="J262" t="s">
        <v>273</v>
      </c>
      <c r="K262">
        <v>391</v>
      </c>
      <c r="L262">
        <f t="shared" si="4"/>
        <v>0.39100000000000001</v>
      </c>
      <c r="M262">
        <v>63</v>
      </c>
      <c r="N262">
        <v>1.05</v>
      </c>
      <c r="O262" s="3">
        <v>22.342857142857142</v>
      </c>
    </row>
    <row r="263" spans="1:15" x14ac:dyDescent="0.3">
      <c r="A263">
        <v>86</v>
      </c>
      <c r="B263">
        <v>87</v>
      </c>
      <c r="C263" t="s">
        <v>366</v>
      </c>
      <c r="D263" t="s">
        <v>59</v>
      </c>
      <c r="E263">
        <v>10.8742961</v>
      </c>
      <c r="F263">
        <v>106.7653083</v>
      </c>
      <c r="G263">
        <v>10.871355700000001</v>
      </c>
      <c r="H263">
        <v>106.77028319999999</v>
      </c>
      <c r="I263" t="s">
        <v>273</v>
      </c>
      <c r="J263" t="s">
        <v>314</v>
      </c>
      <c r="K263">
        <v>746</v>
      </c>
      <c r="L263">
        <f t="shared" si="4"/>
        <v>0.746</v>
      </c>
      <c r="M263" s="2">
        <v>72.273204338114596</v>
      </c>
      <c r="N263">
        <v>1.2045534056352432</v>
      </c>
      <c r="O263" s="3">
        <v>37.158999999999999</v>
      </c>
    </row>
    <row r="264" spans="1:15" x14ac:dyDescent="0.3">
      <c r="A264">
        <v>87</v>
      </c>
      <c r="B264">
        <v>88</v>
      </c>
      <c r="C264" t="s">
        <v>367</v>
      </c>
      <c r="D264" t="s">
        <v>59</v>
      </c>
      <c r="E264">
        <v>10.871355700000001</v>
      </c>
      <c r="F264">
        <v>106.77028319999999</v>
      </c>
      <c r="G264">
        <v>10.8704781</v>
      </c>
      <c r="H264">
        <v>106.7730323</v>
      </c>
      <c r="I264" t="s">
        <v>314</v>
      </c>
      <c r="J264" t="s">
        <v>368</v>
      </c>
      <c r="K264">
        <v>316</v>
      </c>
      <c r="L264">
        <f t="shared" si="4"/>
        <v>0.316</v>
      </c>
      <c r="M264">
        <v>81</v>
      </c>
      <c r="N264">
        <v>1.35</v>
      </c>
      <c r="O264" s="3">
        <v>14.044444444444441</v>
      </c>
    </row>
    <row r="265" spans="1:15" x14ac:dyDescent="0.3">
      <c r="A265">
        <v>88</v>
      </c>
      <c r="B265">
        <v>58</v>
      </c>
      <c r="C265" t="s">
        <v>369</v>
      </c>
      <c r="D265" t="s">
        <v>59</v>
      </c>
      <c r="E265">
        <v>10.8704781</v>
      </c>
      <c r="F265">
        <v>106.7730323</v>
      </c>
      <c r="G265">
        <v>10.87373</v>
      </c>
      <c r="H265">
        <v>106.7777662</v>
      </c>
      <c r="I265" t="s">
        <v>368</v>
      </c>
      <c r="J265" t="s">
        <v>254</v>
      </c>
      <c r="K265">
        <v>974</v>
      </c>
      <c r="L265">
        <f t="shared" si="4"/>
        <v>0.97399999999999998</v>
      </c>
      <c r="M265" s="2">
        <v>94.468841770617246</v>
      </c>
      <c r="N265">
        <v>1.5744806961769542</v>
      </c>
      <c r="O265" s="3">
        <v>37.116999999999997</v>
      </c>
    </row>
    <row r="266" spans="1:15" x14ac:dyDescent="0.3">
      <c r="A266">
        <v>88</v>
      </c>
      <c r="B266">
        <v>61</v>
      </c>
      <c r="C266" t="s">
        <v>370</v>
      </c>
      <c r="D266" t="s">
        <v>59</v>
      </c>
      <c r="E266">
        <v>10.8704781</v>
      </c>
      <c r="F266">
        <v>106.7730323</v>
      </c>
      <c r="G266">
        <v>10.872350300000001</v>
      </c>
      <c r="H266">
        <v>106.7798379</v>
      </c>
      <c r="I266" t="s">
        <v>368</v>
      </c>
      <c r="J266" t="s">
        <v>269</v>
      </c>
      <c r="K266">
        <v>1173</v>
      </c>
      <c r="L266">
        <f t="shared" si="4"/>
        <v>1.173</v>
      </c>
      <c r="M266" s="2">
        <v>163.63636363636365</v>
      </c>
      <c r="N266">
        <v>2.7272727272727275</v>
      </c>
      <c r="O266" s="3">
        <v>25.806000000000001</v>
      </c>
    </row>
    <row r="267" spans="1:15" x14ac:dyDescent="0.3">
      <c r="A267">
        <v>88</v>
      </c>
      <c r="B267">
        <v>89</v>
      </c>
      <c r="C267" t="s">
        <v>371</v>
      </c>
      <c r="D267" t="s">
        <v>59</v>
      </c>
      <c r="E267">
        <v>10.8704781</v>
      </c>
      <c r="F267">
        <v>106.7730323</v>
      </c>
      <c r="G267">
        <v>10.869238899999999</v>
      </c>
      <c r="H267">
        <v>106.77674949999999</v>
      </c>
      <c r="I267" t="s">
        <v>368</v>
      </c>
      <c r="J267" t="s">
        <v>321</v>
      </c>
      <c r="K267">
        <v>429</v>
      </c>
      <c r="L267">
        <f t="shared" si="4"/>
        <v>0.42899999999999999</v>
      </c>
      <c r="M267">
        <v>94</v>
      </c>
      <c r="N267">
        <v>1.5666666666666671</v>
      </c>
      <c r="O267" s="3">
        <v>16.42978723404255</v>
      </c>
    </row>
    <row r="268" spans="1:15" x14ac:dyDescent="0.3">
      <c r="A268">
        <v>89</v>
      </c>
      <c r="B268">
        <v>90</v>
      </c>
      <c r="C268" t="s">
        <v>372</v>
      </c>
      <c r="D268" t="s">
        <v>59</v>
      </c>
      <c r="E268">
        <v>10.869238899999999</v>
      </c>
      <c r="F268">
        <v>106.77674949999999</v>
      </c>
      <c r="G268">
        <v>10.867044399999999</v>
      </c>
      <c r="H268">
        <v>106.787312</v>
      </c>
      <c r="I268" t="s">
        <v>321</v>
      </c>
      <c r="J268" t="s">
        <v>373</v>
      </c>
      <c r="K268">
        <v>1202</v>
      </c>
      <c r="L268">
        <f t="shared" si="4"/>
        <v>1.202</v>
      </c>
      <c r="M268">
        <v>202</v>
      </c>
      <c r="N268">
        <v>3.3666666666666671</v>
      </c>
      <c r="O268" s="3">
        <v>21.421782178217821</v>
      </c>
    </row>
    <row r="269" spans="1:15" x14ac:dyDescent="0.3">
      <c r="A269">
        <v>90</v>
      </c>
      <c r="B269">
        <v>54</v>
      </c>
      <c r="C269" t="s">
        <v>374</v>
      </c>
      <c r="D269" t="s">
        <v>59</v>
      </c>
      <c r="E269">
        <v>10.867044399999999</v>
      </c>
      <c r="F269">
        <v>106.787312</v>
      </c>
      <c r="G269">
        <v>10.867910999999999</v>
      </c>
      <c r="H269">
        <v>106.7878803</v>
      </c>
      <c r="I269" t="s">
        <v>373</v>
      </c>
      <c r="J269" t="s">
        <v>158</v>
      </c>
      <c r="K269">
        <v>191</v>
      </c>
      <c r="L269">
        <f t="shared" si="4"/>
        <v>0.191</v>
      </c>
      <c r="M269">
        <v>55</v>
      </c>
      <c r="N269">
        <v>0.91666666666666663</v>
      </c>
      <c r="O269" s="3">
        <v>12.50181818181818</v>
      </c>
    </row>
    <row r="270" spans="1:15" x14ac:dyDescent="0.3">
      <c r="A270">
        <v>90</v>
      </c>
      <c r="B270">
        <v>91</v>
      </c>
      <c r="C270" t="s">
        <v>375</v>
      </c>
      <c r="D270" t="s">
        <v>59</v>
      </c>
      <c r="E270">
        <v>10.867044399999999</v>
      </c>
      <c r="F270">
        <v>106.787312</v>
      </c>
      <c r="G270">
        <v>10.866859399999999</v>
      </c>
      <c r="H270">
        <v>106.79027170000001</v>
      </c>
      <c r="I270" t="s">
        <v>373</v>
      </c>
      <c r="J270" t="s">
        <v>264</v>
      </c>
      <c r="K270">
        <v>339</v>
      </c>
      <c r="L270">
        <f t="shared" si="4"/>
        <v>0.33900000000000002</v>
      </c>
      <c r="M270">
        <v>96</v>
      </c>
      <c r="N270">
        <v>1.6</v>
      </c>
      <c r="O270" s="3">
        <v>12.7125</v>
      </c>
    </row>
    <row r="271" spans="1:15" x14ac:dyDescent="0.3">
      <c r="A271">
        <v>91</v>
      </c>
      <c r="B271">
        <v>92</v>
      </c>
      <c r="C271" t="s">
        <v>376</v>
      </c>
      <c r="D271" t="s">
        <v>59</v>
      </c>
      <c r="E271">
        <v>10.866859399999999</v>
      </c>
      <c r="F271">
        <v>106.79027170000001</v>
      </c>
      <c r="G271">
        <v>10.863417200000001</v>
      </c>
      <c r="H271">
        <v>106.79739189999999</v>
      </c>
      <c r="I271" t="s">
        <v>264</v>
      </c>
      <c r="J271" t="s">
        <v>377</v>
      </c>
      <c r="K271">
        <v>1552</v>
      </c>
      <c r="L271">
        <f t="shared" si="4"/>
        <v>1.552</v>
      </c>
      <c r="M271">
        <v>175</v>
      </c>
      <c r="N271">
        <v>2.916666666666667</v>
      </c>
      <c r="O271" s="3">
        <v>31.926857142857141</v>
      </c>
    </row>
    <row r="272" spans="1:15" x14ac:dyDescent="0.3">
      <c r="A272">
        <v>92</v>
      </c>
      <c r="B272">
        <v>80</v>
      </c>
      <c r="C272" t="s">
        <v>378</v>
      </c>
      <c r="D272" t="s">
        <v>59</v>
      </c>
      <c r="E272">
        <v>10.863417200000001</v>
      </c>
      <c r="F272">
        <v>106.79739189999999</v>
      </c>
      <c r="G272">
        <v>10.865682400000001</v>
      </c>
      <c r="H272">
        <v>106.80160789999999</v>
      </c>
      <c r="I272" t="s">
        <v>377</v>
      </c>
      <c r="J272" t="s">
        <v>357</v>
      </c>
      <c r="K272">
        <v>532</v>
      </c>
      <c r="L272">
        <f t="shared" si="4"/>
        <v>0.53200000000000003</v>
      </c>
      <c r="M272">
        <v>50</v>
      </c>
      <c r="N272">
        <v>0.83333333333333337</v>
      </c>
      <c r="O272" s="3">
        <v>38.304000000000002</v>
      </c>
    </row>
  </sheetData>
  <autoFilter ref="A1:O2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Quân Trần</cp:lastModifiedBy>
  <dcterms:created xsi:type="dcterms:W3CDTF">2026-04-30T10:40:19Z</dcterms:created>
  <dcterms:modified xsi:type="dcterms:W3CDTF">2026-05-02T08:57:30Z</dcterms:modified>
</cp:coreProperties>
</file>