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\Build\Data\Traffic Data\"/>
    </mc:Choice>
  </mc:AlternateContent>
  <xr:revisionPtr revIDLastSave="0" documentId="13_ncr:1_{3E4070C4-67E4-4287-9A02-C40058551E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eed Heatmap" sheetId="1" r:id="rId1"/>
    <sheet name="Daily Statistics" sheetId="2" r:id="rId2"/>
    <sheet name="Weekday Hourly Profile" sheetId="3" r:id="rId3"/>
    <sheet name="Sampling Pl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4" l="1"/>
</calcChain>
</file>

<file path=xl/sharedStrings.xml><?xml version="1.0" encoding="utf-8"?>
<sst xmlns="http://schemas.openxmlformats.org/spreadsheetml/2006/main" count="238" uniqueCount="175">
  <si>
    <t>TomTom Driving Patterns in Ho Chi Minh — Speed Heatmap</t>
  </si>
  <si>
    <t>Metric: average speed by hour and weekday | Unit: km/h | Source: TomTom Traffic Index</t>
  </si>
  <si>
    <t>Source URL: https://www.tomtom.com/traffic-index/city/ho-chi-minh</t>
  </si>
  <si>
    <t>Time</t>
  </si>
  <si>
    <t>Mon</t>
  </si>
  <si>
    <t>Tue</t>
  </si>
  <si>
    <t>Wed</t>
  </si>
  <si>
    <t>Thu</t>
  </si>
  <si>
    <t>Fri</t>
  </si>
  <si>
    <t>Sat</t>
  </si>
  <si>
    <t>Sun</t>
  </si>
  <si>
    <t>12:00am</t>
  </si>
  <si>
    <t>01:00am</t>
  </si>
  <si>
    <t>02:00am</t>
  </si>
  <si>
    <t>03:00am</t>
  </si>
  <si>
    <t>04:00am</t>
  </si>
  <si>
    <t>05:00am</t>
  </si>
  <si>
    <t>06:00am</t>
  </si>
  <si>
    <t>07:00am</t>
  </si>
  <si>
    <t>08:00am</t>
  </si>
  <si>
    <t>09:00am</t>
  </si>
  <si>
    <t>10:00am</t>
  </si>
  <si>
    <t>11:00am</t>
  </si>
  <si>
    <t>12:00pm</t>
  </si>
  <si>
    <t>01:00pm</t>
  </si>
  <si>
    <t>02:00pm</t>
  </si>
  <si>
    <t>03:00pm</t>
  </si>
  <si>
    <t>04:00pm</t>
  </si>
  <si>
    <t>05:00pm</t>
  </si>
  <si>
    <t>06:00pm</t>
  </si>
  <si>
    <t>07:00pm</t>
  </si>
  <si>
    <t>08:00pm</t>
  </si>
  <si>
    <t>09:00pm</t>
  </si>
  <si>
    <t>10:00pm</t>
  </si>
  <si>
    <t>11:00pm</t>
  </si>
  <si>
    <t>Legend</t>
  </si>
  <si>
    <t>Lower speed = heavier congestion; higher speed = freer traffic flow.</t>
  </si>
  <si>
    <t>TomTom Ho Chi Minh Speed Heatmap — Daily Statistical Profile</t>
  </si>
  <si>
    <t>Variance and standard deviation use population formulas over the available hourly heatmap cells. Source: https://www.tomtom.com/traffic-index/city/ho-chi-minh</t>
  </si>
  <si>
    <t>Day / Aggregation</t>
  </si>
  <si>
    <t>N cells</t>
  </si>
  <si>
    <t>Mean</t>
  </si>
  <si>
    <t>Median</t>
  </si>
  <si>
    <t>Variance</t>
  </si>
  <si>
    <t>Std dev</t>
  </si>
  <si>
    <t>Min</t>
  </si>
  <si>
    <t>Max</t>
  </si>
  <si>
    <t>CV %</t>
  </si>
  <si>
    <t>≤15 km/h</t>
  </si>
  <si>
    <t>16–18 km/h</t>
  </si>
  <si>
    <t>19–21 km/h</t>
  </si>
  <si>
    <t>22–24 km/h</t>
  </si>
  <si>
    <t>≥25 km/h</t>
  </si>
  <si>
    <t>Weekdays Mon–Fri, 24h</t>
  </si>
  <si>
    <t>Weekdays Mon–Fri, 05:00–23:00</t>
  </si>
  <si>
    <t>Weekend Sat–Sun, 24h</t>
  </si>
  <si>
    <t>Weekday Hourly Profile, Mon–Fri</t>
  </si>
  <si>
    <t>Main band</t>
  </si>
  <si>
    <t>Speed values Mon–Fri</t>
  </si>
  <si>
    <t>Interpretation</t>
  </si>
  <si>
    <t>00:00</t>
  </si>
  <si>
    <t>26, 26, 25, 26, 26</t>
  </si>
  <si>
    <t>Free-flow/off-peak</t>
  </si>
  <si>
    <t>01:00</t>
  </si>
  <si>
    <t>27, 27, 25, 26, 26</t>
  </si>
  <si>
    <t>02:00</t>
  </si>
  <si>
    <t>27, 27, 27, 27, 27</t>
  </si>
  <si>
    <t>03:00</t>
  </si>
  <si>
    <t>28, 28, 27, 28, 28</t>
  </si>
  <si>
    <t>04:00</t>
  </si>
  <si>
    <t>28, 27, 27, 27, 27</t>
  </si>
  <si>
    <t>05:00</t>
  </si>
  <si>
    <t>26, 26, 26, 26, 26</t>
  </si>
  <si>
    <t>22, 22, 22, 23, 23</t>
  </si>
  <si>
    <t>Transition period</t>
  </si>
  <si>
    <t>07:00</t>
  </si>
  <si>
    <t>18, 18, 18, 18, 18</t>
  </si>
  <si>
    <t>Low-speed peak</t>
  </si>
  <si>
    <t>08:00</t>
  </si>
  <si>
    <t>17, 17, 17, 17, 17</t>
  </si>
  <si>
    <t>09:00</t>
  </si>
  <si>
    <t>18, 17, 18, 17, 17</t>
  </si>
  <si>
    <t>10:00</t>
  </si>
  <si>
    <t>19, 18, 18, 18, 18</t>
  </si>
  <si>
    <t>Moderate congestion</t>
  </si>
  <si>
    <t>11:00</t>
  </si>
  <si>
    <t>19, 18, 18, 18, 17</t>
  </si>
  <si>
    <t>12:00</t>
  </si>
  <si>
    <t>20, 19, 19, 19, 18</t>
  </si>
  <si>
    <t>13:00</t>
  </si>
  <si>
    <t>20, 20, 20, 19, 19</t>
  </si>
  <si>
    <t>14:00</t>
  </si>
  <si>
    <t>19, 19, 19, 19, 18</t>
  </si>
  <si>
    <t>15:00</t>
  </si>
  <si>
    <t>19, 19, 19, 18, 17</t>
  </si>
  <si>
    <t>16:00</t>
  </si>
  <si>
    <t>18, 17, 17, 17, 16</t>
  </si>
  <si>
    <t>17:00</t>
  </si>
  <si>
    <t>15, 15, 15, 15, 14</t>
  </si>
  <si>
    <t>18:00</t>
  </si>
  <si>
    <t>19:00</t>
  </si>
  <si>
    <t>18, 18, 18, 17, 16</t>
  </si>
  <si>
    <t>20:00</t>
  </si>
  <si>
    <t>20, 20, 20, 20, 18</t>
  </si>
  <si>
    <t>21:00</t>
  </si>
  <si>
    <t>21, 21, 21, 21, 19</t>
  </si>
  <si>
    <t>22:00</t>
  </si>
  <si>
    <t>23, 22, 22, 22, 21</t>
  </si>
  <si>
    <t>23:00</t>
  </si>
  <si>
    <t>25, 24, 24, 24, 24</t>
  </si>
  <si>
    <t>Six-Sample Weekday API Plan Derived from TomTom Speed Heatmap</t>
  </si>
  <si>
    <t>Target window: 05:00–23:00 on weekdays. Slot unit: 30 minutes. Total weekday slots = 36 slots/day × 5 days = 180 weighted slots.</t>
  </si>
  <si>
    <t>Sample</t>
  </si>
  <si>
    <t>Representative API time</t>
  </si>
  <si>
    <t>Period represented</t>
  </si>
  <si>
    <t>Hourly heatmap cells used</t>
  </si>
  <si>
    <t>Slots/day</t>
  </si>
  <si>
    <t>Days</t>
  </si>
  <si>
    <t>Weight</t>
  </si>
  <si>
    <t>Weight %</t>
  </si>
  <si>
    <t>Period mean</t>
  </si>
  <si>
    <t>Distribution</t>
  </si>
  <si>
    <t>Representativeness conclusion</t>
  </si>
  <si>
    <t>1</t>
  </si>
  <si>
    <t>Weekday 06:00</t>
  </si>
  <si>
    <t>05:00–07:00</t>
  </si>
  <si>
    <t>05:00, 06:00</t>
  </si>
  <si>
    <t>22:3, 23:2, 26:5</t>
  </si>
  <si>
    <t>Given 06:00 captures the congestion onset; 05:30 is statistically closer to the period mean.</t>
  </si>
  <si>
    <t>2</t>
  </si>
  <si>
    <t>Weekday 08:00</t>
  </si>
  <si>
    <t>07:00–10:00</t>
  </si>
  <si>
    <t>07:00, 08:00, 09:00</t>
  </si>
  <si>
    <t>17:8, 18:7</t>
  </si>
  <si>
    <t>Given 08:00 is acceptable and captures the morning worst-speed state; 09:00 is closest to the arithmetic period mean.</t>
  </si>
  <si>
    <t>3</t>
  </si>
  <si>
    <t>Weekday 11:30</t>
  </si>
  <si>
    <t>10:00–13:00</t>
  </si>
  <si>
    <t>10:00, 11:00, 12:00</t>
  </si>
  <si>
    <t>17:1, 18:8, 19:5, 20:1</t>
  </si>
  <si>
    <t>Good representative: interpolated 11:30 is very close to the period mean.</t>
  </si>
  <si>
    <t>4</t>
  </si>
  <si>
    <t>Weekday 14:15</t>
  </si>
  <si>
    <t>13:00–15:30</t>
  </si>
  <si>
    <t>13:00, 14:00, 15:00</t>
  </si>
  <si>
    <t>17:1, 18:2, 19:9, 20:3</t>
  </si>
  <si>
    <t>Given 14:15 is acceptable; 13:45–14:00 is slightly closer to the period mean.</t>
  </si>
  <si>
    <t>5</t>
  </si>
  <si>
    <t>Weekday 17:00</t>
  </si>
  <si>
    <t>15:30–18:30</t>
  </si>
  <si>
    <t>16:00, 17:00, 18:00</t>
  </si>
  <si>
    <t>14:2, 15:8, 16:1, 17:3, 18:1</t>
  </si>
  <si>
    <t>Given 17:00 captures the evening bottleneck; 18:15 is closer to the full-period average.</t>
  </si>
  <si>
    <t>6</t>
  </si>
  <si>
    <t>Weekday 21:00</t>
  </si>
  <si>
    <t>18:30–23:00</t>
  </si>
  <si>
    <t>19:00, 20:00, 21:00, 22:00</t>
  </si>
  <si>
    <t>16:1, 17:1, 18:4, 19:1, 20:4, 21:5, 22:3, 23:1</t>
  </si>
  <si>
    <t>Given 21:00 is slightly high; 20:15 is statistically closest to the period mean.</t>
  </si>
  <si>
    <t>TOTAL</t>
  </si>
  <si>
    <t>05:00–23:00</t>
  </si>
  <si>
    <t>36</t>
  </si>
  <si>
    <t>Weighted validation</t>
  </si>
  <si>
    <t>Metric</t>
  </si>
  <si>
    <t>Value</t>
  </si>
  <si>
    <t>Weighted arithmetic mean of period means</t>
  </si>
  <si>
    <t>Very close to actual weekday 05:00–23:00 heatmap mean.</t>
  </si>
  <si>
    <t>Actual weekday 05:00–23:00 arithmetic mean</t>
  </si>
  <si>
    <t>Reference mean from all 90 weekday hourly cells.</t>
  </si>
  <si>
    <t>Recommended link aggregation</t>
  </si>
  <si>
    <t>Weighted harmonic mean</t>
  </si>
  <si>
    <t>Use SUM(weight)/SUM(weight/speed) because speed is a rate.</t>
  </si>
  <si>
    <t>Recommended weights</t>
  </si>
  <si>
    <t>20, 30, 30, 25, 30, 45</t>
  </si>
  <si>
    <t>These weights sum to 180 half-hour weekday slots.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</si>
</sst>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km/h&quot;"/>
    <numFmt numFmtId="165" formatCode="0.0"/>
    <numFmt numFmtId="168" formatCode="[$-F400]h:mm:ss\ AM/PM"/>
  </numFmts>
  <fonts count="10">
    <font>
      <sz val="11"/>
      <name val="Carlito"/>
    </font>
    <font>
      <b/>
      <sz val="16"/>
      <color rgb="FF111827"/>
      <name val="Carlito"/>
    </font>
    <font>
      <sz val="10"/>
      <color rgb="FF374151"/>
      <name val="Carlito"/>
    </font>
    <font>
      <sz val="9"/>
      <color rgb="FF2563EB"/>
      <name val="Carlito"/>
    </font>
    <font>
      <b/>
      <sz val="11"/>
      <color rgb="FF111827"/>
      <name val="Carlito"/>
    </font>
    <font>
      <sz val="10"/>
      <color rgb="FF111827"/>
      <name val="Carlito"/>
    </font>
    <font>
      <b/>
      <sz val="10"/>
      <name val="Carlito"/>
    </font>
    <font>
      <sz val="9"/>
      <color rgb="FF374151"/>
      <name val="Carlito"/>
    </font>
    <font>
      <b/>
      <sz val="14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164" fontId="5" fillId="0" borderId="0" xfId="0" applyNumberFormat="1" applyFont="1"/>
    <xf numFmtId="164" fontId="6" fillId="0" borderId="0" xfId="0" applyNumberFormat="1" applyFont="1"/>
    <xf numFmtId="0" fontId="8" fillId="0" borderId="0" xfId="0" applyFont="1"/>
    <xf numFmtId="0" fontId="9" fillId="0" borderId="0" xfId="0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" fontId="0" fillId="3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168" fontId="0" fillId="4" borderId="0" xfId="0" applyNumberFormat="1" applyFill="1" applyAlignment="1">
      <alignment horizontal="left"/>
    </xf>
  </cellXfs>
  <cellStyles count="1">
    <cellStyle name="Normal" xfId="0" builtinId="0"/>
  </cellStyles>
  <dxfs count="3">
    <dxf>
      <font>
        <color rgb="FF111827"/>
      </font>
    </dxf>
    <dxf>
      <font>
        <b/>
        <color rgb="FFFFFFFF"/>
      </font>
    </dxf>
    <dxf>
      <font>
        <b/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B30" sqref="B30"/>
    </sheetView>
  </sheetViews>
  <sheetFormatPr defaultRowHeight="13.8"/>
  <cols>
    <col min="1" max="1" width="13" customWidth="1"/>
    <col min="2" max="8" width="15" customWidth="1"/>
  </cols>
  <sheetData>
    <row r="1" spans="1:8" ht="16.05" customHeight="1">
      <c r="A1" s="15" t="s">
        <v>0</v>
      </c>
      <c r="B1" s="16"/>
      <c r="C1" s="16"/>
      <c r="D1" s="16"/>
      <c r="E1" s="16"/>
      <c r="F1" s="16"/>
      <c r="G1" s="16"/>
      <c r="H1" s="16"/>
    </row>
    <row r="2" spans="1:8" ht="12" customHeight="1">
      <c r="A2" s="17" t="s">
        <v>1</v>
      </c>
      <c r="B2" s="16"/>
      <c r="C2" s="16"/>
      <c r="D2" s="16"/>
      <c r="E2" s="16"/>
      <c r="F2" s="16"/>
      <c r="G2" s="16"/>
      <c r="H2" s="16"/>
    </row>
    <row r="3" spans="1:8" ht="12" customHeight="1">
      <c r="A3" s="18" t="s">
        <v>2</v>
      </c>
      <c r="B3" s="16"/>
      <c r="C3" s="16"/>
      <c r="D3" s="16"/>
      <c r="E3" s="16"/>
      <c r="F3" s="16"/>
      <c r="G3" s="16"/>
      <c r="H3" s="16"/>
    </row>
    <row r="5" spans="1:8" ht="13.3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3.95" customHeight="1">
      <c r="A6" s="1" t="s">
        <v>11</v>
      </c>
      <c r="B6" s="2">
        <v>26</v>
      </c>
      <c r="C6" s="2">
        <v>26</v>
      </c>
      <c r="D6" s="2">
        <v>25</v>
      </c>
      <c r="E6" s="2">
        <v>26</v>
      </c>
      <c r="F6" s="2">
        <v>26</v>
      </c>
      <c r="G6" s="2">
        <v>26</v>
      </c>
      <c r="H6" s="2">
        <v>25</v>
      </c>
    </row>
    <row r="7" spans="1:8" ht="13.95" customHeight="1">
      <c r="A7" s="1" t="s">
        <v>12</v>
      </c>
      <c r="B7" s="2">
        <v>27</v>
      </c>
      <c r="C7" s="2">
        <v>27</v>
      </c>
      <c r="D7" s="2">
        <v>25</v>
      </c>
      <c r="E7" s="2">
        <v>26</v>
      </c>
      <c r="F7" s="2">
        <v>26</v>
      </c>
      <c r="G7" s="2">
        <v>26</v>
      </c>
      <c r="H7" s="2">
        <v>26</v>
      </c>
    </row>
    <row r="8" spans="1:8" ht="13.95" customHeight="1">
      <c r="A8" s="1" t="s">
        <v>13</v>
      </c>
      <c r="B8" s="2">
        <v>27</v>
      </c>
      <c r="C8" s="2">
        <v>27</v>
      </c>
      <c r="D8" s="2">
        <v>27</v>
      </c>
      <c r="E8" s="2">
        <v>27</v>
      </c>
      <c r="F8" s="2">
        <v>27</v>
      </c>
      <c r="G8" s="2">
        <v>27</v>
      </c>
      <c r="H8" s="2">
        <v>27</v>
      </c>
    </row>
    <row r="9" spans="1:8" ht="13.95" customHeight="1">
      <c r="A9" s="1" t="s">
        <v>14</v>
      </c>
      <c r="B9" s="2">
        <v>28</v>
      </c>
      <c r="C9" s="2">
        <v>28</v>
      </c>
      <c r="D9" s="2">
        <v>27</v>
      </c>
      <c r="E9" s="2">
        <v>28</v>
      </c>
      <c r="F9" s="2">
        <v>28</v>
      </c>
      <c r="G9" s="2">
        <v>28</v>
      </c>
      <c r="H9" s="2">
        <v>27</v>
      </c>
    </row>
    <row r="10" spans="1:8" ht="13.95" customHeight="1">
      <c r="A10" s="1" t="s">
        <v>15</v>
      </c>
      <c r="B10" s="2">
        <v>28</v>
      </c>
      <c r="C10" s="2">
        <v>27</v>
      </c>
      <c r="D10" s="2">
        <v>27</v>
      </c>
      <c r="E10" s="2">
        <v>27</v>
      </c>
      <c r="F10" s="2">
        <v>27</v>
      </c>
      <c r="G10" s="2">
        <v>28</v>
      </c>
      <c r="H10" s="2">
        <v>28</v>
      </c>
    </row>
    <row r="11" spans="1:8" ht="13.95" customHeight="1">
      <c r="A11" s="1" t="s">
        <v>16</v>
      </c>
      <c r="B11" s="2">
        <v>26</v>
      </c>
      <c r="C11" s="2">
        <v>26</v>
      </c>
      <c r="D11" s="2">
        <v>26</v>
      </c>
      <c r="E11" s="2">
        <v>26</v>
      </c>
      <c r="F11" s="2">
        <v>26</v>
      </c>
      <c r="G11" s="2">
        <v>26</v>
      </c>
      <c r="H11" s="2">
        <v>27</v>
      </c>
    </row>
    <row r="12" spans="1:8" ht="13.95" customHeight="1">
      <c r="A12" s="1" t="s">
        <v>17</v>
      </c>
      <c r="B12" s="2">
        <v>22</v>
      </c>
      <c r="C12" s="2">
        <v>22</v>
      </c>
      <c r="D12" s="2">
        <v>22</v>
      </c>
      <c r="E12" s="2">
        <v>23</v>
      </c>
      <c r="F12" s="2">
        <v>23</v>
      </c>
      <c r="G12" s="2">
        <v>25</v>
      </c>
      <c r="H12" s="2">
        <v>26</v>
      </c>
    </row>
    <row r="13" spans="1:8" ht="13.95" customHeight="1">
      <c r="A13" s="1" t="s">
        <v>18</v>
      </c>
      <c r="B13" s="2">
        <v>18</v>
      </c>
      <c r="C13" s="2">
        <v>18</v>
      </c>
      <c r="D13" s="2">
        <v>18</v>
      </c>
      <c r="E13" s="2">
        <v>18</v>
      </c>
      <c r="F13" s="2">
        <v>18</v>
      </c>
      <c r="G13" s="2">
        <v>23</v>
      </c>
      <c r="H13" s="2">
        <v>24</v>
      </c>
    </row>
    <row r="14" spans="1:8" ht="13.95" customHeight="1">
      <c r="A14" s="1" t="s">
        <v>19</v>
      </c>
      <c r="B14" s="2">
        <v>17</v>
      </c>
      <c r="C14" s="2">
        <v>17</v>
      </c>
      <c r="D14" s="2">
        <v>17</v>
      </c>
      <c r="E14" s="2">
        <v>17</v>
      </c>
      <c r="F14" s="2">
        <v>17</v>
      </c>
      <c r="G14" s="2">
        <v>21</v>
      </c>
      <c r="H14" s="2">
        <v>23</v>
      </c>
    </row>
    <row r="15" spans="1:8" ht="13.95" customHeight="1">
      <c r="A15" s="1" t="s">
        <v>20</v>
      </c>
      <c r="B15" s="2">
        <v>18</v>
      </c>
      <c r="C15" s="2">
        <v>17</v>
      </c>
      <c r="D15" s="2">
        <v>18</v>
      </c>
      <c r="E15" s="2">
        <v>17</v>
      </c>
      <c r="F15" s="2">
        <v>17</v>
      </c>
      <c r="G15" s="2">
        <v>19</v>
      </c>
      <c r="H15" s="2">
        <v>21</v>
      </c>
    </row>
    <row r="16" spans="1:8" ht="13.95" customHeight="1">
      <c r="A16" s="1" t="s">
        <v>21</v>
      </c>
      <c r="B16" s="2">
        <v>19</v>
      </c>
      <c r="C16" s="2">
        <v>18</v>
      </c>
      <c r="D16" s="2">
        <v>18</v>
      </c>
      <c r="E16" s="2">
        <v>18</v>
      </c>
      <c r="F16" s="2">
        <v>18</v>
      </c>
      <c r="G16" s="2">
        <v>18</v>
      </c>
      <c r="H16" s="2">
        <v>21</v>
      </c>
    </row>
    <row r="17" spans="1:8" ht="13.95" customHeight="1">
      <c r="A17" s="1" t="s">
        <v>22</v>
      </c>
      <c r="B17" s="2">
        <v>19</v>
      </c>
      <c r="C17" s="2">
        <v>18</v>
      </c>
      <c r="D17" s="2">
        <v>18</v>
      </c>
      <c r="E17" s="2">
        <v>18</v>
      </c>
      <c r="F17" s="2">
        <v>17</v>
      </c>
      <c r="G17" s="2">
        <v>18</v>
      </c>
      <c r="H17" s="2">
        <v>21</v>
      </c>
    </row>
    <row r="18" spans="1:8" ht="13.95" customHeight="1">
      <c r="A18" s="1" t="s">
        <v>23</v>
      </c>
      <c r="B18" s="2">
        <v>20</v>
      </c>
      <c r="C18" s="2">
        <v>19</v>
      </c>
      <c r="D18" s="2">
        <v>19</v>
      </c>
      <c r="E18" s="2">
        <v>19</v>
      </c>
      <c r="F18" s="2">
        <v>18</v>
      </c>
      <c r="G18" s="2">
        <v>18</v>
      </c>
      <c r="H18" s="2">
        <v>21</v>
      </c>
    </row>
    <row r="19" spans="1:8" ht="13.95" customHeight="1">
      <c r="A19" s="1" t="s">
        <v>24</v>
      </c>
      <c r="B19" s="2">
        <v>20</v>
      </c>
      <c r="C19" s="2">
        <v>20</v>
      </c>
      <c r="D19" s="2">
        <v>20</v>
      </c>
      <c r="E19" s="2">
        <v>19</v>
      </c>
      <c r="F19" s="2">
        <v>19</v>
      </c>
      <c r="G19" s="2">
        <v>19</v>
      </c>
      <c r="H19" s="2">
        <v>22</v>
      </c>
    </row>
    <row r="20" spans="1:8" ht="13.95" customHeight="1">
      <c r="A20" s="1" t="s">
        <v>25</v>
      </c>
      <c r="B20" s="2">
        <v>19</v>
      </c>
      <c r="C20" s="2">
        <v>19</v>
      </c>
      <c r="D20" s="2">
        <v>19</v>
      </c>
      <c r="E20" s="2">
        <v>19</v>
      </c>
      <c r="F20" s="2">
        <v>18</v>
      </c>
      <c r="G20" s="2">
        <v>19</v>
      </c>
      <c r="H20" s="2">
        <v>21</v>
      </c>
    </row>
    <row r="21" spans="1:8" ht="13.95" customHeight="1">
      <c r="A21" s="1" t="s">
        <v>26</v>
      </c>
      <c r="B21" s="2">
        <v>19</v>
      </c>
      <c r="C21" s="2">
        <v>19</v>
      </c>
      <c r="D21" s="2">
        <v>19</v>
      </c>
      <c r="E21" s="2">
        <v>18</v>
      </c>
      <c r="F21" s="2">
        <v>17</v>
      </c>
      <c r="G21" s="2">
        <v>19</v>
      </c>
      <c r="H21" s="2">
        <v>21</v>
      </c>
    </row>
    <row r="22" spans="1:8" ht="13.95" customHeight="1">
      <c r="A22" s="1" t="s">
        <v>27</v>
      </c>
      <c r="B22" s="2">
        <v>18</v>
      </c>
      <c r="C22" s="2">
        <v>17</v>
      </c>
      <c r="D22" s="2">
        <v>17</v>
      </c>
      <c r="E22" s="2">
        <v>17</v>
      </c>
      <c r="F22" s="2">
        <v>16</v>
      </c>
      <c r="G22" s="2">
        <v>19</v>
      </c>
      <c r="H22" s="2">
        <v>20</v>
      </c>
    </row>
    <row r="23" spans="1:8" ht="13.95" customHeight="1">
      <c r="A23" s="1" t="s">
        <v>28</v>
      </c>
      <c r="B23" s="2">
        <v>15</v>
      </c>
      <c r="C23" s="2">
        <v>15</v>
      </c>
      <c r="D23" s="2">
        <v>15</v>
      </c>
      <c r="E23" s="2">
        <v>15</v>
      </c>
      <c r="F23" s="2">
        <v>14</v>
      </c>
      <c r="G23" s="2">
        <v>18</v>
      </c>
      <c r="H23" s="2">
        <v>19</v>
      </c>
    </row>
    <row r="24" spans="1:8" ht="13.95" customHeight="1">
      <c r="A24" s="1" t="s">
        <v>29</v>
      </c>
      <c r="B24" s="2">
        <v>15</v>
      </c>
      <c r="C24" s="2">
        <v>15</v>
      </c>
      <c r="D24" s="2">
        <v>15</v>
      </c>
      <c r="E24" s="2">
        <v>15</v>
      </c>
      <c r="F24" s="2">
        <v>14</v>
      </c>
      <c r="G24" s="2">
        <v>17</v>
      </c>
      <c r="H24" s="2">
        <v>18</v>
      </c>
    </row>
    <row r="25" spans="1:8" ht="13.95" customHeight="1">
      <c r="A25" s="1" t="s">
        <v>30</v>
      </c>
      <c r="B25" s="2">
        <v>18</v>
      </c>
      <c r="C25" s="2">
        <v>18</v>
      </c>
      <c r="D25" s="2">
        <v>18</v>
      </c>
      <c r="E25" s="2">
        <v>17</v>
      </c>
      <c r="F25" s="2">
        <v>16</v>
      </c>
      <c r="G25" s="2">
        <v>18</v>
      </c>
      <c r="H25" s="2">
        <v>19</v>
      </c>
    </row>
    <row r="26" spans="1:8" ht="13.95" customHeight="1">
      <c r="A26" s="1" t="s">
        <v>31</v>
      </c>
      <c r="B26" s="2">
        <v>20</v>
      </c>
      <c r="C26" s="2">
        <v>20</v>
      </c>
      <c r="D26" s="2">
        <v>20</v>
      </c>
      <c r="E26" s="2">
        <v>20</v>
      </c>
      <c r="F26" s="2">
        <v>18</v>
      </c>
      <c r="G26" s="2">
        <v>18</v>
      </c>
      <c r="H26" s="2">
        <v>19</v>
      </c>
    </row>
    <row r="27" spans="1:8" ht="13.95" customHeight="1">
      <c r="A27" s="1" t="s">
        <v>32</v>
      </c>
      <c r="B27" s="2">
        <v>21</v>
      </c>
      <c r="C27" s="2">
        <v>21</v>
      </c>
      <c r="D27" s="2">
        <v>21</v>
      </c>
      <c r="E27" s="2">
        <v>21</v>
      </c>
      <c r="F27" s="2">
        <v>19</v>
      </c>
      <c r="G27" s="2">
        <v>19</v>
      </c>
      <c r="H27" s="2">
        <v>21</v>
      </c>
    </row>
    <row r="28" spans="1:8" ht="13.95" customHeight="1">
      <c r="A28" s="1" t="s">
        <v>33</v>
      </c>
      <c r="B28" s="2">
        <v>23</v>
      </c>
      <c r="C28" s="2">
        <v>22</v>
      </c>
      <c r="D28" s="2">
        <v>22</v>
      </c>
      <c r="E28" s="2">
        <v>22</v>
      </c>
      <c r="F28" s="2">
        <v>21</v>
      </c>
      <c r="G28" s="2">
        <v>20</v>
      </c>
      <c r="H28" s="2">
        <v>22</v>
      </c>
    </row>
    <row r="29" spans="1:8" ht="13.95" customHeight="1">
      <c r="A29" s="1" t="s">
        <v>34</v>
      </c>
      <c r="B29" s="2">
        <v>25</v>
      </c>
      <c r="C29" s="2">
        <v>24</v>
      </c>
      <c r="D29" s="2">
        <v>24</v>
      </c>
      <c r="E29" s="2">
        <v>24</v>
      </c>
      <c r="F29" s="2">
        <v>24</v>
      </c>
      <c r="G29" s="2">
        <v>23</v>
      </c>
      <c r="H29" s="2">
        <v>24</v>
      </c>
    </row>
    <row r="32" spans="1:8" ht="14.7" customHeight="1">
      <c r="A32" s="1" t="s">
        <v>35</v>
      </c>
      <c r="B32" s="3">
        <v>14</v>
      </c>
      <c r="C32" s="3">
        <v>21</v>
      </c>
      <c r="D32" s="3">
        <v>28</v>
      </c>
      <c r="E32" s="19" t="s">
        <v>36</v>
      </c>
      <c r="F32" s="16"/>
      <c r="G32" s="16"/>
      <c r="H32" s="16"/>
    </row>
  </sheetData>
  <mergeCells count="4">
    <mergeCell ref="A1:H1"/>
    <mergeCell ref="A2:H2"/>
    <mergeCell ref="A3:H3"/>
    <mergeCell ref="E32:H32"/>
  </mergeCells>
  <conditionalFormatting sqref="B32:D32">
    <cfRule type="colorScale" priority="4">
      <colorScale>
        <cfvo type="min"/>
        <cfvo type="percentile" val="50"/>
        <cfvo type="max"/>
        <color rgb="FF440154"/>
        <color rgb="FF21918C"/>
        <color rgb="FFFDE725"/>
      </colorScale>
    </cfRule>
    <cfRule type="expression" dxfId="2" priority="5">
      <formula>B32&lt;=20</formula>
    </cfRule>
  </conditionalFormatting>
  <conditionalFormatting sqref="B6:H29">
    <cfRule type="colorScale" priority="1">
      <colorScale>
        <cfvo type="min"/>
        <cfvo type="percentile" val="50"/>
        <cfvo type="max"/>
        <color rgb="FF440154"/>
        <color rgb="FF21918C"/>
        <color rgb="FFFDE725"/>
      </colorScale>
    </cfRule>
    <cfRule type="expression" dxfId="1" priority="2">
      <formula>B6&lt;=20</formula>
    </cfRule>
    <cfRule type="expression" dxfId="0" priority="3">
      <formula>B6&gt;=24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8" sqref="A8"/>
    </sheetView>
  </sheetViews>
  <sheetFormatPr defaultRowHeight="13.8"/>
  <cols>
    <col min="1" max="1" width="138.19921875" customWidth="1"/>
    <col min="2" max="2" width="14.19921875" customWidth="1"/>
    <col min="3" max="3" width="15.59765625" customWidth="1"/>
    <col min="4" max="4" width="10.5" customWidth="1"/>
    <col min="5" max="5" width="14.796875" customWidth="1"/>
    <col min="6" max="6" width="12.09765625" customWidth="1"/>
    <col min="7" max="7" width="13" customWidth="1"/>
    <col min="8" max="8" width="12.796875" customWidth="1"/>
    <col min="9" max="9" width="15.19921875" customWidth="1"/>
    <col min="10" max="10" width="12.69921875" customWidth="1"/>
    <col min="11" max="11" width="13" customWidth="1"/>
    <col min="12" max="13" width="10.3984375" customWidth="1"/>
  </cols>
  <sheetData>
    <row r="1" spans="1:14" ht="17.399999999999999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>
      <c r="A2" t="s">
        <v>38</v>
      </c>
    </row>
    <row r="4" spans="1:14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51</v>
      </c>
      <c r="N4" t="s">
        <v>52</v>
      </c>
    </row>
    <row r="5" spans="1:14">
      <c r="A5" t="s">
        <v>4</v>
      </c>
      <c r="B5">
        <v>24</v>
      </c>
      <c r="C5" s="6">
        <v>21.17</v>
      </c>
      <c r="D5" s="6">
        <v>20</v>
      </c>
      <c r="E5" s="6">
        <v>15.97</v>
      </c>
      <c r="F5" s="6">
        <v>4</v>
      </c>
      <c r="G5" s="6">
        <v>15</v>
      </c>
      <c r="H5" s="6">
        <v>28</v>
      </c>
      <c r="I5" s="6">
        <v>18.899999999999999</v>
      </c>
      <c r="J5" s="7">
        <v>2</v>
      </c>
      <c r="K5" s="7">
        <v>5</v>
      </c>
      <c r="L5" s="7">
        <v>8</v>
      </c>
      <c r="M5" s="7">
        <v>2</v>
      </c>
      <c r="N5">
        <v>7</v>
      </c>
    </row>
    <row r="6" spans="1:14">
      <c r="A6" t="s">
        <v>5</v>
      </c>
      <c r="B6">
        <v>24</v>
      </c>
      <c r="C6" s="6">
        <v>20.83</v>
      </c>
      <c r="D6" s="6">
        <v>19.5</v>
      </c>
      <c r="E6" s="6">
        <v>16.14</v>
      </c>
      <c r="F6" s="6">
        <v>4.0199999999999996</v>
      </c>
      <c r="G6" s="6">
        <v>15</v>
      </c>
      <c r="H6" s="6">
        <v>28</v>
      </c>
      <c r="I6" s="6">
        <v>19.3</v>
      </c>
      <c r="J6" s="7">
        <v>2</v>
      </c>
      <c r="K6" s="7">
        <v>7</v>
      </c>
      <c r="L6" s="7">
        <v>6</v>
      </c>
      <c r="M6" s="7">
        <v>3</v>
      </c>
      <c r="N6">
        <v>6</v>
      </c>
    </row>
    <row r="7" spans="1:14">
      <c r="A7" t="s">
        <v>6</v>
      </c>
      <c r="B7">
        <v>24</v>
      </c>
      <c r="C7" s="6">
        <v>20.71</v>
      </c>
      <c r="D7" s="6">
        <v>19.5</v>
      </c>
      <c r="E7" s="6">
        <v>14.04</v>
      </c>
      <c r="F7" s="6">
        <v>3.75</v>
      </c>
      <c r="G7" s="6">
        <v>15</v>
      </c>
      <c r="H7" s="6">
        <v>27</v>
      </c>
      <c r="I7" s="6">
        <v>18.100000000000001</v>
      </c>
      <c r="J7" s="7">
        <v>2</v>
      </c>
      <c r="K7" s="7">
        <v>7</v>
      </c>
      <c r="L7" s="7">
        <v>6</v>
      </c>
      <c r="M7" s="7">
        <v>3</v>
      </c>
      <c r="N7">
        <v>6</v>
      </c>
    </row>
    <row r="8" spans="1:14" s="9" customFormat="1">
      <c r="A8" s="9" t="s">
        <v>7</v>
      </c>
      <c r="B8" s="9">
        <v>24</v>
      </c>
      <c r="C8" s="10">
        <v>20.71</v>
      </c>
      <c r="D8" s="10">
        <v>19</v>
      </c>
      <c r="E8" s="10">
        <v>16.37</v>
      </c>
      <c r="F8" s="10">
        <v>4.05</v>
      </c>
      <c r="G8" s="10">
        <v>15</v>
      </c>
      <c r="H8" s="10">
        <v>28</v>
      </c>
      <c r="I8" s="10">
        <v>19.5</v>
      </c>
      <c r="J8" s="11">
        <v>2</v>
      </c>
      <c r="K8" s="11">
        <v>8</v>
      </c>
      <c r="L8" s="11">
        <v>5</v>
      </c>
      <c r="M8" s="11">
        <v>3</v>
      </c>
      <c r="N8" s="9">
        <v>6</v>
      </c>
    </row>
    <row r="9" spans="1:14">
      <c r="A9" t="s">
        <v>8</v>
      </c>
      <c r="B9">
        <v>24</v>
      </c>
      <c r="C9" s="6">
        <v>20.170000000000002</v>
      </c>
      <c r="D9" s="6">
        <v>18</v>
      </c>
      <c r="E9" s="6">
        <v>19.059999999999999</v>
      </c>
      <c r="F9" s="6">
        <v>4.37</v>
      </c>
      <c r="G9" s="6">
        <v>14</v>
      </c>
      <c r="H9" s="6">
        <v>28</v>
      </c>
      <c r="I9" s="6">
        <v>21.6</v>
      </c>
      <c r="J9" s="7">
        <v>2</v>
      </c>
      <c r="K9" s="7">
        <v>11</v>
      </c>
      <c r="L9" s="7">
        <v>3</v>
      </c>
      <c r="M9" s="7">
        <v>2</v>
      </c>
      <c r="N9">
        <v>6</v>
      </c>
    </row>
    <row r="10" spans="1:14">
      <c r="A10" t="s">
        <v>9</v>
      </c>
      <c r="B10">
        <v>24</v>
      </c>
      <c r="C10" s="6">
        <v>21.33</v>
      </c>
      <c r="D10" s="6">
        <v>19</v>
      </c>
      <c r="E10" s="6">
        <v>13.56</v>
      </c>
      <c r="F10" s="6">
        <v>3.68</v>
      </c>
      <c r="G10" s="6">
        <v>17</v>
      </c>
      <c r="H10" s="6">
        <v>28</v>
      </c>
      <c r="I10" s="6">
        <v>17.3</v>
      </c>
      <c r="J10" s="7">
        <v>0</v>
      </c>
      <c r="K10" s="7">
        <v>7</v>
      </c>
      <c r="L10" s="7">
        <v>8</v>
      </c>
      <c r="M10" s="7">
        <v>2</v>
      </c>
      <c r="N10">
        <v>7</v>
      </c>
    </row>
    <row r="11" spans="1:14">
      <c r="A11" t="s">
        <v>10</v>
      </c>
      <c r="B11">
        <v>24</v>
      </c>
      <c r="C11" s="6">
        <v>22.62</v>
      </c>
      <c r="D11" s="6">
        <v>21.5</v>
      </c>
      <c r="E11" s="6">
        <v>8.57</v>
      </c>
      <c r="F11" s="6">
        <v>2.93</v>
      </c>
      <c r="G11" s="6">
        <v>18</v>
      </c>
      <c r="H11" s="6">
        <v>28</v>
      </c>
      <c r="I11" s="6">
        <v>12.9</v>
      </c>
      <c r="J11" s="7">
        <v>0</v>
      </c>
      <c r="K11" s="7">
        <v>1</v>
      </c>
      <c r="L11" s="7">
        <v>11</v>
      </c>
      <c r="M11" s="7">
        <v>5</v>
      </c>
      <c r="N11">
        <v>7</v>
      </c>
    </row>
    <row r="12" spans="1:14" s="12" customFormat="1">
      <c r="A12" s="12" t="s">
        <v>53</v>
      </c>
      <c r="B12" s="12">
        <v>120</v>
      </c>
      <c r="C12" s="13">
        <v>20.72</v>
      </c>
      <c r="D12" s="13">
        <v>19</v>
      </c>
      <c r="E12" s="13">
        <v>16.420000000000002</v>
      </c>
      <c r="F12" s="13">
        <v>4.05</v>
      </c>
      <c r="G12" s="13">
        <v>14</v>
      </c>
      <c r="H12" s="13">
        <v>28</v>
      </c>
      <c r="I12" s="13">
        <v>19.600000000000001</v>
      </c>
      <c r="J12" s="14">
        <v>10</v>
      </c>
      <c r="K12" s="14">
        <v>38</v>
      </c>
      <c r="L12" s="14">
        <v>28</v>
      </c>
      <c r="M12" s="14">
        <v>13</v>
      </c>
      <c r="N12" s="12">
        <v>31</v>
      </c>
    </row>
    <row r="13" spans="1:14">
      <c r="A13" t="s">
        <v>54</v>
      </c>
      <c r="B13">
        <v>90</v>
      </c>
      <c r="C13" s="6">
        <v>18.829999999999998</v>
      </c>
      <c r="D13" s="6">
        <v>18</v>
      </c>
      <c r="E13" s="6">
        <v>7.18</v>
      </c>
      <c r="F13" s="6">
        <v>2.68</v>
      </c>
      <c r="G13" s="6">
        <v>14</v>
      </c>
      <c r="H13" s="6">
        <v>26</v>
      </c>
      <c r="I13" s="6">
        <v>14.2</v>
      </c>
      <c r="J13" s="7">
        <v>10</v>
      </c>
      <c r="K13" s="7">
        <v>38</v>
      </c>
      <c r="L13" s="7">
        <v>28</v>
      </c>
      <c r="M13" s="7">
        <v>9</v>
      </c>
      <c r="N13">
        <v>5</v>
      </c>
    </row>
    <row r="14" spans="1:14">
      <c r="A14" t="s">
        <v>55</v>
      </c>
      <c r="B14">
        <v>48</v>
      </c>
      <c r="C14" s="6">
        <v>21.98</v>
      </c>
      <c r="D14" s="6">
        <v>21</v>
      </c>
      <c r="E14" s="6">
        <v>11.48</v>
      </c>
      <c r="F14" s="6">
        <v>3.39</v>
      </c>
      <c r="G14" s="6">
        <v>17</v>
      </c>
      <c r="H14" s="6">
        <v>28</v>
      </c>
      <c r="I14" s="6">
        <v>15.4</v>
      </c>
      <c r="J14" s="7">
        <v>0</v>
      </c>
      <c r="K14" s="7">
        <v>8</v>
      </c>
      <c r="L14" s="7">
        <v>19</v>
      </c>
      <c r="M14" s="7">
        <v>7</v>
      </c>
      <c r="N1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tabSelected="1" zoomScale="68" workbookViewId="0">
      <selection activeCell="F31" sqref="F31"/>
    </sheetView>
  </sheetViews>
  <sheetFormatPr defaultRowHeight="13.8"/>
  <cols>
    <col min="1" max="1" width="36.59765625" customWidth="1"/>
    <col min="2" max="2" width="5.59765625" bestFit="1" customWidth="1"/>
    <col min="3" max="3" width="6.59765625" customWidth="1"/>
    <col min="4" max="4" width="7.3984375" customWidth="1"/>
    <col min="5" max="5" width="6.3984375" customWidth="1"/>
    <col min="6" max="6" width="3.3984375" customWidth="1"/>
    <col min="7" max="7" width="3.69921875" customWidth="1"/>
    <col min="8" max="8" width="10.19921875" customWidth="1"/>
    <col min="9" max="9" width="19.19921875" customWidth="1"/>
    <col min="10" max="10" width="18.19921875" customWidth="1"/>
  </cols>
  <sheetData>
    <row r="1" spans="1:10" ht="17.399999999999999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</row>
    <row r="3" spans="1:10">
      <c r="A3" s="5" t="s">
        <v>3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57</v>
      </c>
      <c r="I3" s="5" t="s">
        <v>58</v>
      </c>
      <c r="J3" s="5" t="s">
        <v>59</v>
      </c>
    </row>
    <row r="4" spans="1:10" s="20" customFormat="1">
      <c r="A4" s="20" t="s">
        <v>60</v>
      </c>
      <c r="B4" s="21">
        <v>25.8</v>
      </c>
      <c r="C4" s="21">
        <v>26</v>
      </c>
      <c r="D4" s="21">
        <v>0.16</v>
      </c>
      <c r="E4" s="21">
        <v>0.4</v>
      </c>
      <c r="F4" s="20">
        <v>25</v>
      </c>
      <c r="G4" s="20">
        <v>26</v>
      </c>
      <c r="H4" s="20" t="s">
        <v>52</v>
      </c>
      <c r="I4" s="20" t="s">
        <v>61</v>
      </c>
      <c r="J4" s="20" t="s">
        <v>62</v>
      </c>
    </row>
    <row r="5" spans="1:10" s="20" customFormat="1">
      <c r="A5" s="20" t="s">
        <v>63</v>
      </c>
      <c r="B5" s="21">
        <v>26.2</v>
      </c>
      <c r="C5" s="21">
        <v>26</v>
      </c>
      <c r="D5" s="21">
        <v>0.56000000000000005</v>
      </c>
      <c r="E5" s="21">
        <v>0.75</v>
      </c>
      <c r="F5" s="20">
        <v>25</v>
      </c>
      <c r="G5" s="20">
        <v>27</v>
      </c>
      <c r="H5" s="20" t="s">
        <v>52</v>
      </c>
      <c r="I5" s="20" t="s">
        <v>64</v>
      </c>
      <c r="J5" s="20" t="s">
        <v>62</v>
      </c>
    </row>
    <row r="6" spans="1:10" s="20" customFormat="1">
      <c r="A6" s="20" t="s">
        <v>65</v>
      </c>
      <c r="B6" s="21">
        <v>27</v>
      </c>
      <c r="C6" s="21">
        <v>27</v>
      </c>
      <c r="D6" s="21">
        <v>0</v>
      </c>
      <c r="E6" s="21">
        <v>0</v>
      </c>
      <c r="F6" s="20">
        <v>27</v>
      </c>
      <c r="G6" s="20">
        <v>27</v>
      </c>
      <c r="H6" s="20" t="s">
        <v>52</v>
      </c>
      <c r="I6" s="20" t="s">
        <v>66</v>
      </c>
      <c r="J6" s="20" t="s">
        <v>62</v>
      </c>
    </row>
    <row r="7" spans="1:10" s="20" customFormat="1">
      <c r="A7" s="20" t="s">
        <v>67</v>
      </c>
      <c r="B7" s="21">
        <v>27.8</v>
      </c>
      <c r="C7" s="21">
        <v>28</v>
      </c>
      <c r="D7" s="21">
        <v>0.16</v>
      </c>
      <c r="E7" s="21">
        <v>0.4</v>
      </c>
      <c r="F7" s="20">
        <v>27</v>
      </c>
      <c r="G7" s="20">
        <v>28</v>
      </c>
      <c r="H7" s="20" t="s">
        <v>52</v>
      </c>
      <c r="I7" s="20" t="s">
        <v>68</v>
      </c>
      <c r="J7" s="20" t="s">
        <v>62</v>
      </c>
    </row>
    <row r="8" spans="1:10" s="20" customFormat="1">
      <c r="A8" s="20" t="s">
        <v>69</v>
      </c>
      <c r="B8" s="21">
        <v>27.2</v>
      </c>
      <c r="C8" s="21">
        <v>27</v>
      </c>
      <c r="D8" s="21">
        <v>0.16</v>
      </c>
      <c r="E8" s="21">
        <v>0.4</v>
      </c>
      <c r="F8" s="20">
        <v>27</v>
      </c>
      <c r="G8" s="20">
        <v>28</v>
      </c>
      <c r="H8" s="20" t="s">
        <v>52</v>
      </c>
      <c r="I8" s="20" t="s">
        <v>70</v>
      </c>
      <c r="J8" s="20" t="s">
        <v>62</v>
      </c>
    </row>
    <row r="9" spans="1:10" s="20" customFormat="1">
      <c r="A9" s="20" t="s">
        <v>71</v>
      </c>
      <c r="B9" s="21">
        <v>26</v>
      </c>
      <c r="C9" s="21">
        <v>26</v>
      </c>
      <c r="D9" s="21">
        <v>0</v>
      </c>
      <c r="E9" s="21">
        <v>0</v>
      </c>
      <c r="F9" s="20">
        <v>26</v>
      </c>
      <c r="G9" s="20">
        <v>26</v>
      </c>
      <c r="H9" s="20" t="s">
        <v>52</v>
      </c>
      <c r="I9" s="20" t="s">
        <v>72</v>
      </c>
      <c r="J9" s="20" t="s">
        <v>62</v>
      </c>
    </row>
    <row r="10" spans="1:10" s="20" customFormat="1">
      <c r="A10" s="30">
        <v>0.25</v>
      </c>
      <c r="B10" s="21">
        <v>22.4</v>
      </c>
      <c r="C10" s="21">
        <v>22</v>
      </c>
      <c r="D10" s="21">
        <v>0.24</v>
      </c>
      <c r="E10" s="21">
        <v>0.49</v>
      </c>
      <c r="F10" s="20">
        <v>22</v>
      </c>
      <c r="G10" s="20">
        <v>23</v>
      </c>
      <c r="H10" s="20" t="s">
        <v>51</v>
      </c>
      <c r="I10" s="20" t="s">
        <v>73</v>
      </c>
      <c r="J10" s="20" t="s">
        <v>74</v>
      </c>
    </row>
    <row r="11" spans="1:10" s="22" customFormat="1">
      <c r="A11" s="22" t="s">
        <v>75</v>
      </c>
      <c r="B11" s="23">
        <v>18</v>
      </c>
      <c r="C11" s="23">
        <v>18</v>
      </c>
      <c r="D11" s="23">
        <v>0</v>
      </c>
      <c r="E11" s="23">
        <v>0</v>
      </c>
      <c r="F11" s="22">
        <v>18</v>
      </c>
      <c r="G11" s="22">
        <v>18</v>
      </c>
      <c r="H11" s="22" t="s">
        <v>49</v>
      </c>
      <c r="I11" s="22" t="s">
        <v>76</v>
      </c>
      <c r="J11" s="22" t="s">
        <v>77</v>
      </c>
    </row>
    <row r="12" spans="1:10" s="22" customFormat="1">
      <c r="A12" s="22" t="s">
        <v>78</v>
      </c>
      <c r="B12" s="23">
        <v>17</v>
      </c>
      <c r="C12" s="23">
        <v>17</v>
      </c>
      <c r="D12" s="23">
        <v>0</v>
      </c>
      <c r="E12" s="23">
        <v>0</v>
      </c>
      <c r="F12" s="22">
        <v>17</v>
      </c>
      <c r="G12" s="22">
        <v>17</v>
      </c>
      <c r="H12" s="22" t="s">
        <v>49</v>
      </c>
      <c r="I12" s="22" t="s">
        <v>79</v>
      </c>
      <c r="J12" s="22" t="s">
        <v>77</v>
      </c>
    </row>
    <row r="13" spans="1:10" s="22" customFormat="1">
      <c r="A13" s="22" t="s">
        <v>80</v>
      </c>
      <c r="B13" s="23">
        <v>17.399999999999999</v>
      </c>
      <c r="C13" s="23">
        <v>17</v>
      </c>
      <c r="D13" s="23">
        <v>0.24</v>
      </c>
      <c r="E13" s="23">
        <v>0.49</v>
      </c>
      <c r="F13" s="22">
        <v>17</v>
      </c>
      <c r="G13" s="22">
        <v>18</v>
      </c>
      <c r="H13" s="22" t="s">
        <v>49</v>
      </c>
      <c r="I13" s="22" t="s">
        <v>81</v>
      </c>
      <c r="J13" s="22" t="s">
        <v>77</v>
      </c>
    </row>
    <row r="14" spans="1:10" s="22" customFormat="1">
      <c r="A14" s="22" t="s">
        <v>82</v>
      </c>
      <c r="B14" s="23">
        <v>18.2</v>
      </c>
      <c r="C14" s="23">
        <v>18</v>
      </c>
      <c r="D14" s="23">
        <v>0.16</v>
      </c>
      <c r="E14" s="23">
        <v>0.4</v>
      </c>
      <c r="F14" s="22">
        <v>18</v>
      </c>
      <c r="G14" s="22">
        <v>19</v>
      </c>
      <c r="H14" s="22" t="s">
        <v>49</v>
      </c>
      <c r="I14" s="22" t="s">
        <v>83</v>
      </c>
      <c r="J14" s="22" t="s">
        <v>84</v>
      </c>
    </row>
    <row r="15" spans="1:10" s="22" customFormat="1">
      <c r="A15" s="22" t="s">
        <v>85</v>
      </c>
      <c r="B15" s="23">
        <v>18</v>
      </c>
      <c r="C15" s="23">
        <v>18</v>
      </c>
      <c r="D15" s="23">
        <v>0.4</v>
      </c>
      <c r="E15" s="23">
        <v>0.63</v>
      </c>
      <c r="F15" s="22">
        <v>17</v>
      </c>
      <c r="G15" s="22">
        <v>19</v>
      </c>
      <c r="H15" s="22" t="s">
        <v>49</v>
      </c>
      <c r="I15" s="22" t="s">
        <v>86</v>
      </c>
      <c r="J15" s="22" t="s">
        <v>77</v>
      </c>
    </row>
    <row r="16" spans="1:10" s="24" customFormat="1">
      <c r="A16" s="24" t="s">
        <v>87</v>
      </c>
      <c r="B16" s="25">
        <v>19</v>
      </c>
      <c r="C16" s="25">
        <v>19</v>
      </c>
      <c r="D16" s="25">
        <v>0.4</v>
      </c>
      <c r="E16" s="25">
        <v>0.63</v>
      </c>
      <c r="F16" s="24">
        <v>18</v>
      </c>
      <c r="G16" s="24">
        <v>20</v>
      </c>
      <c r="H16" s="24" t="s">
        <v>50</v>
      </c>
      <c r="I16" s="24" t="s">
        <v>88</v>
      </c>
      <c r="J16" s="24" t="s">
        <v>84</v>
      </c>
    </row>
    <row r="17" spans="1:10" s="24" customFormat="1">
      <c r="A17" s="24" t="s">
        <v>89</v>
      </c>
      <c r="B17" s="25">
        <v>19.600000000000001</v>
      </c>
      <c r="C17" s="25">
        <v>20</v>
      </c>
      <c r="D17" s="25">
        <v>0.24</v>
      </c>
      <c r="E17" s="25">
        <v>0.49</v>
      </c>
      <c r="F17" s="24">
        <v>19</v>
      </c>
      <c r="G17" s="24">
        <v>20</v>
      </c>
      <c r="H17" s="24" t="s">
        <v>50</v>
      </c>
      <c r="I17" s="24" t="s">
        <v>90</v>
      </c>
      <c r="J17" s="24" t="s">
        <v>84</v>
      </c>
    </row>
    <row r="18" spans="1:10" s="24" customFormat="1">
      <c r="A18" s="24" t="s">
        <v>91</v>
      </c>
      <c r="B18" s="25">
        <v>18.8</v>
      </c>
      <c r="C18" s="25">
        <v>19</v>
      </c>
      <c r="D18" s="25">
        <v>0.16</v>
      </c>
      <c r="E18" s="25">
        <v>0.4</v>
      </c>
      <c r="F18" s="24">
        <v>18</v>
      </c>
      <c r="G18" s="24">
        <v>19</v>
      </c>
      <c r="H18" s="24" t="s">
        <v>50</v>
      </c>
      <c r="I18" s="24" t="s">
        <v>92</v>
      </c>
      <c r="J18" s="24" t="s">
        <v>84</v>
      </c>
    </row>
    <row r="19" spans="1:10" s="24" customFormat="1">
      <c r="A19" s="24" t="s">
        <v>93</v>
      </c>
      <c r="B19" s="25">
        <v>18.399999999999999</v>
      </c>
      <c r="C19" s="25">
        <v>19</v>
      </c>
      <c r="D19" s="25">
        <v>0.64</v>
      </c>
      <c r="E19" s="25">
        <v>0.8</v>
      </c>
      <c r="F19" s="24">
        <v>17</v>
      </c>
      <c r="G19" s="24">
        <v>19</v>
      </c>
      <c r="H19" s="24" t="s">
        <v>50</v>
      </c>
      <c r="I19" s="24" t="s">
        <v>94</v>
      </c>
      <c r="J19" s="24" t="s">
        <v>84</v>
      </c>
    </row>
    <row r="20" spans="1:10" s="26" customFormat="1">
      <c r="A20" s="26" t="s">
        <v>95</v>
      </c>
      <c r="B20" s="27">
        <v>17</v>
      </c>
      <c r="C20" s="27">
        <v>17</v>
      </c>
      <c r="D20" s="27">
        <v>0.4</v>
      </c>
      <c r="E20" s="27">
        <v>0.63</v>
      </c>
      <c r="F20" s="26">
        <v>16</v>
      </c>
      <c r="G20" s="26">
        <v>18</v>
      </c>
      <c r="H20" s="26" t="s">
        <v>49</v>
      </c>
      <c r="I20" s="26" t="s">
        <v>96</v>
      </c>
      <c r="J20" s="26" t="s">
        <v>77</v>
      </c>
    </row>
    <row r="21" spans="1:10" s="26" customFormat="1">
      <c r="A21" s="26" t="s">
        <v>97</v>
      </c>
      <c r="B21" s="27">
        <v>14.8</v>
      </c>
      <c r="C21" s="27">
        <v>15</v>
      </c>
      <c r="D21" s="27">
        <v>0.16</v>
      </c>
      <c r="E21" s="27">
        <v>0.4</v>
      </c>
      <c r="F21" s="26">
        <v>14</v>
      </c>
      <c r="G21" s="26">
        <v>15</v>
      </c>
      <c r="H21" s="26" t="s">
        <v>48</v>
      </c>
      <c r="I21" s="26" t="s">
        <v>98</v>
      </c>
      <c r="J21" s="26" t="s">
        <v>77</v>
      </c>
    </row>
    <row r="22" spans="1:10" s="26" customFormat="1">
      <c r="A22" s="26" t="s">
        <v>99</v>
      </c>
      <c r="B22" s="27">
        <v>14.8</v>
      </c>
      <c r="C22" s="27">
        <v>15</v>
      </c>
      <c r="D22" s="27">
        <v>0.16</v>
      </c>
      <c r="E22" s="27">
        <v>0.4</v>
      </c>
      <c r="F22" s="26">
        <v>14</v>
      </c>
      <c r="G22" s="26">
        <v>15</v>
      </c>
      <c r="H22" s="26" t="s">
        <v>48</v>
      </c>
      <c r="I22" s="26" t="s">
        <v>98</v>
      </c>
      <c r="J22" s="26" t="s">
        <v>77</v>
      </c>
    </row>
    <row r="23" spans="1:10" s="26" customFormat="1">
      <c r="A23" s="26" t="s">
        <v>100</v>
      </c>
      <c r="B23" s="27">
        <v>17.399999999999999</v>
      </c>
      <c r="C23" s="27">
        <v>18</v>
      </c>
      <c r="D23" s="27">
        <v>0.64</v>
      </c>
      <c r="E23" s="27">
        <v>0.8</v>
      </c>
      <c r="F23" s="26">
        <v>16</v>
      </c>
      <c r="G23" s="26">
        <v>18</v>
      </c>
      <c r="H23" s="26" t="s">
        <v>49</v>
      </c>
      <c r="I23" s="26" t="s">
        <v>101</v>
      </c>
      <c r="J23" s="26" t="s">
        <v>77</v>
      </c>
    </row>
    <row r="24" spans="1:10" s="28" customFormat="1">
      <c r="A24" s="28" t="s">
        <v>102</v>
      </c>
      <c r="B24" s="29">
        <v>19.600000000000001</v>
      </c>
      <c r="C24" s="29">
        <v>20</v>
      </c>
      <c r="D24" s="29">
        <v>0.64</v>
      </c>
      <c r="E24" s="29">
        <v>0.8</v>
      </c>
      <c r="F24" s="28">
        <v>18</v>
      </c>
      <c r="G24" s="28">
        <v>20</v>
      </c>
      <c r="H24" s="28" t="s">
        <v>50</v>
      </c>
      <c r="I24" s="28" t="s">
        <v>103</v>
      </c>
      <c r="J24" s="28" t="s">
        <v>84</v>
      </c>
    </row>
    <row r="25" spans="1:10" s="28" customFormat="1">
      <c r="A25" s="28" t="s">
        <v>104</v>
      </c>
      <c r="B25" s="29">
        <v>20.6</v>
      </c>
      <c r="C25" s="29">
        <v>21</v>
      </c>
      <c r="D25" s="29">
        <v>0.64</v>
      </c>
      <c r="E25" s="29">
        <v>0.8</v>
      </c>
      <c r="F25" s="28">
        <v>19</v>
      </c>
      <c r="G25" s="28">
        <v>21</v>
      </c>
      <c r="H25" s="28" t="s">
        <v>50</v>
      </c>
      <c r="I25" s="28" t="s">
        <v>105</v>
      </c>
      <c r="J25" s="28" t="s">
        <v>84</v>
      </c>
    </row>
    <row r="26" spans="1:10">
      <c r="A26" t="s">
        <v>106</v>
      </c>
      <c r="B26" s="6">
        <v>22</v>
      </c>
      <c r="C26" s="6">
        <v>22</v>
      </c>
      <c r="D26" s="6">
        <v>0.4</v>
      </c>
      <c r="E26" s="6">
        <v>0.63</v>
      </c>
      <c r="F26">
        <v>21</v>
      </c>
      <c r="G26">
        <v>23</v>
      </c>
      <c r="H26" t="s">
        <v>51</v>
      </c>
      <c r="I26" t="s">
        <v>107</v>
      </c>
      <c r="J26" t="s">
        <v>74</v>
      </c>
    </row>
    <row r="27" spans="1:10">
      <c r="A27" t="s">
        <v>108</v>
      </c>
      <c r="B27" s="6">
        <v>24.2</v>
      </c>
      <c r="C27" s="6">
        <v>24</v>
      </c>
      <c r="D27" s="6">
        <v>0.16</v>
      </c>
      <c r="E27" s="6">
        <v>0.4</v>
      </c>
      <c r="F27">
        <v>24</v>
      </c>
      <c r="G27">
        <v>25</v>
      </c>
      <c r="H27" t="s">
        <v>51</v>
      </c>
      <c r="I27" t="s">
        <v>109</v>
      </c>
      <c r="J2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topLeftCell="A3" workbookViewId="0">
      <selection activeCell="C19" sqref="C19"/>
    </sheetView>
  </sheetViews>
  <sheetFormatPr defaultRowHeight="13.8"/>
  <cols>
    <col min="1" max="1" width="109.69921875" customWidth="1"/>
    <col min="2" max="2" width="22" customWidth="1"/>
    <col min="3" max="3" width="53.19921875" customWidth="1"/>
    <col min="4" max="4" width="22.796875" customWidth="1"/>
    <col min="5" max="5" width="8.19921875" customWidth="1"/>
    <col min="6" max="6" width="5" bestFit="1" customWidth="1"/>
    <col min="7" max="7" width="6.69921875" bestFit="1" customWidth="1"/>
    <col min="8" max="8" width="8.19921875" customWidth="1"/>
    <col min="9" max="9" width="11" customWidth="1"/>
    <col min="10" max="10" width="6.59765625" customWidth="1"/>
    <col min="11" max="11" width="7.3984375" customWidth="1"/>
    <col min="12" max="12" width="7.296875" bestFit="1" customWidth="1"/>
    <col min="13" max="13" width="36.796875" customWidth="1"/>
    <col min="14" max="14" width="100.19921875" customWidth="1"/>
  </cols>
  <sheetData>
    <row r="1" spans="1:14" ht="17.399999999999999">
      <c r="A1" s="4" t="s">
        <v>110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t="s">
        <v>111</v>
      </c>
    </row>
    <row r="4" spans="1:14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42</v>
      </c>
      <c r="K4" s="5" t="s">
        <v>43</v>
      </c>
      <c r="L4" s="5" t="s">
        <v>44</v>
      </c>
      <c r="M4" s="5" t="s">
        <v>121</v>
      </c>
      <c r="N4" s="5" t="s">
        <v>122</v>
      </c>
    </row>
    <row r="5" spans="1:14">
      <c r="A5" t="s">
        <v>123</v>
      </c>
      <c r="B5" t="s">
        <v>124</v>
      </c>
      <c r="C5" t="s">
        <v>125</v>
      </c>
      <c r="D5" t="s">
        <v>126</v>
      </c>
      <c r="E5" s="6">
        <v>4</v>
      </c>
      <c r="F5" s="6">
        <v>5</v>
      </c>
      <c r="G5" s="8">
        <v>20</v>
      </c>
      <c r="H5" s="8">
        <v>11.1</v>
      </c>
      <c r="I5" s="6">
        <v>24.2</v>
      </c>
      <c r="J5" s="6">
        <v>24.5</v>
      </c>
      <c r="K5" s="6">
        <v>3.36</v>
      </c>
      <c r="L5" s="6">
        <v>1.83</v>
      </c>
      <c r="M5" t="s">
        <v>127</v>
      </c>
      <c r="N5" t="s">
        <v>128</v>
      </c>
    </row>
    <row r="6" spans="1:14">
      <c r="A6" t="s">
        <v>129</v>
      </c>
      <c r="B6" t="s">
        <v>130</v>
      </c>
      <c r="C6" t="s">
        <v>131</v>
      </c>
      <c r="D6" t="s">
        <v>132</v>
      </c>
      <c r="E6" s="6">
        <v>6</v>
      </c>
      <c r="F6" s="6">
        <v>5</v>
      </c>
      <c r="G6" s="8">
        <v>30</v>
      </c>
      <c r="H6" s="8">
        <v>16.7</v>
      </c>
      <c r="I6" s="6">
        <v>17.47</v>
      </c>
      <c r="J6" s="6">
        <v>17</v>
      </c>
      <c r="K6" s="6">
        <v>0.25</v>
      </c>
      <c r="L6" s="6">
        <v>0.5</v>
      </c>
      <c r="M6" t="s">
        <v>133</v>
      </c>
      <c r="N6" t="s">
        <v>134</v>
      </c>
    </row>
    <row r="7" spans="1:14">
      <c r="A7" t="s">
        <v>135</v>
      </c>
      <c r="B7" t="s">
        <v>136</v>
      </c>
      <c r="C7" t="s">
        <v>137</v>
      </c>
      <c r="D7" t="s">
        <v>138</v>
      </c>
      <c r="E7" s="6">
        <v>6</v>
      </c>
      <c r="F7" s="6">
        <v>5</v>
      </c>
      <c r="G7" s="8">
        <v>30</v>
      </c>
      <c r="H7" s="8">
        <v>16.7</v>
      </c>
      <c r="I7" s="6">
        <v>18.399999999999999</v>
      </c>
      <c r="J7" s="6">
        <v>18</v>
      </c>
      <c r="K7" s="6">
        <v>0.51</v>
      </c>
      <c r="L7" s="6">
        <v>0.71</v>
      </c>
      <c r="M7" t="s">
        <v>139</v>
      </c>
      <c r="N7" t="s">
        <v>140</v>
      </c>
    </row>
    <row r="8" spans="1:14">
      <c r="A8" t="s">
        <v>141</v>
      </c>
      <c r="B8" t="s">
        <v>142</v>
      </c>
      <c r="C8" t="s">
        <v>143</v>
      </c>
      <c r="D8" t="s">
        <v>144</v>
      </c>
      <c r="E8" s="6">
        <v>5</v>
      </c>
      <c r="F8" s="6">
        <v>5</v>
      </c>
      <c r="G8" s="8">
        <v>25</v>
      </c>
      <c r="H8" s="8">
        <v>13.9</v>
      </c>
      <c r="I8" s="6">
        <v>18.93</v>
      </c>
      <c r="J8" s="6">
        <v>19</v>
      </c>
      <c r="K8" s="6">
        <v>0.6</v>
      </c>
      <c r="L8" s="6">
        <v>0.77</v>
      </c>
      <c r="M8" t="s">
        <v>145</v>
      </c>
      <c r="N8" t="s">
        <v>146</v>
      </c>
    </row>
    <row r="9" spans="1:14">
      <c r="A9" t="s">
        <v>147</v>
      </c>
      <c r="B9" t="s">
        <v>148</v>
      </c>
      <c r="C9" t="s">
        <v>149</v>
      </c>
      <c r="D9" t="s">
        <v>150</v>
      </c>
      <c r="E9" s="6">
        <v>6</v>
      </c>
      <c r="F9" s="6">
        <v>5</v>
      </c>
      <c r="G9" s="8">
        <v>30</v>
      </c>
      <c r="H9" s="8">
        <v>16.7</v>
      </c>
      <c r="I9" s="6">
        <v>15.53</v>
      </c>
      <c r="J9" s="6">
        <v>15</v>
      </c>
      <c r="K9" s="6">
        <v>1.32</v>
      </c>
      <c r="L9" s="6">
        <v>1.1499999999999999</v>
      </c>
      <c r="M9" t="s">
        <v>151</v>
      </c>
      <c r="N9" t="s">
        <v>152</v>
      </c>
    </row>
    <row r="10" spans="1:14">
      <c r="A10" t="s">
        <v>153</v>
      </c>
      <c r="B10" t="s">
        <v>154</v>
      </c>
      <c r="C10" t="s">
        <v>155</v>
      </c>
      <c r="D10" t="s">
        <v>156</v>
      </c>
      <c r="E10" s="6">
        <v>9</v>
      </c>
      <c r="F10" s="6">
        <v>5</v>
      </c>
      <c r="G10" s="8">
        <v>45</v>
      </c>
      <c r="H10" s="8">
        <v>25</v>
      </c>
      <c r="I10" s="6">
        <v>19.899999999999999</v>
      </c>
      <c r="J10" s="6">
        <v>20</v>
      </c>
      <c r="K10" s="6">
        <v>3.39</v>
      </c>
      <c r="L10" s="6">
        <v>1.84</v>
      </c>
      <c r="M10" t="s">
        <v>157</v>
      </c>
      <c r="N10" t="s">
        <v>158</v>
      </c>
    </row>
    <row r="11" spans="1:14">
      <c r="A11" t="s">
        <v>159</v>
      </c>
      <c r="C11" t="s">
        <v>160</v>
      </c>
      <c r="E11" s="6" t="s">
        <v>161</v>
      </c>
      <c r="F11" s="6">
        <v>5</v>
      </c>
      <c r="G11" s="8">
        <v>180</v>
      </c>
      <c r="H11" s="8">
        <v>100</v>
      </c>
      <c r="I11" s="6">
        <f>AVERAGE(I5:I10)</f>
        <v>19.071666666666669</v>
      </c>
      <c r="J11" s="6"/>
      <c r="K11" s="6"/>
      <c r="L11" s="6"/>
    </row>
    <row r="15" spans="1:14">
      <c r="A15" s="5" t="s">
        <v>162</v>
      </c>
      <c r="B15" s="5"/>
      <c r="C15" s="5"/>
      <c r="D15" s="5"/>
      <c r="E15" s="5"/>
    </row>
    <row r="16" spans="1:14">
      <c r="A16" s="5" t="s">
        <v>163</v>
      </c>
      <c r="B16" s="5" t="s">
        <v>164</v>
      </c>
      <c r="C16" s="5" t="s">
        <v>59</v>
      </c>
      <c r="D16" s="5"/>
      <c r="E16" s="5"/>
    </row>
    <row r="17" spans="1:3">
      <c r="A17" t="s">
        <v>165</v>
      </c>
      <c r="B17">
        <v>18.86</v>
      </c>
      <c r="C17" t="s">
        <v>166</v>
      </c>
    </row>
    <row r="18" spans="1:3">
      <c r="A18" t="s">
        <v>167</v>
      </c>
      <c r="B18">
        <v>18.829999999999998</v>
      </c>
      <c r="C18" t="s">
        <v>168</v>
      </c>
    </row>
    <row r="19" spans="1:3">
      <c r="A19" t="s">
        <v>169</v>
      </c>
      <c r="B19" t="s">
        <v>170</v>
      </c>
      <c r="C19" t="s">
        <v>171</v>
      </c>
    </row>
    <row r="20" spans="1:3">
      <c r="A20" t="s">
        <v>172</v>
      </c>
      <c r="B20" t="s">
        <v>173</v>
      </c>
      <c r="C2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Speed Heatmap</vt:lpstr>
      <vt:lpstr>Daily Statistics</vt:lpstr>
      <vt:lpstr>Weekday Hourly Profile</vt:lpstr>
      <vt:lpstr>Sampling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Quân Trần</cp:lastModifiedBy>
  <dcterms:modified xsi:type="dcterms:W3CDTF">2026-05-04T07:06:48Z</dcterms:modified>
</cp:coreProperties>
</file>